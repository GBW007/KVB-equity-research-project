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odel" sheetId="2" state="visible" r:id="rId4"/>
    <sheet name="Valuation" sheetId="3" state="visible" r:id="rId5"/>
    <sheet name="Quarterly" sheetId="4" state="visible" r:id="rId6"/>
    <sheet name="Pe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Regulatory capital approx. = net worth x 1.03 (Tier-2 add, less deductions). Calibrated so FY26 RWA density ~57%, in line with mgmt comment of 55-58% RWA/TA (Q4FY26 call).</t>
        </r>
      </text>
    </comment>
  </commentList>
</comments>
</file>

<file path=xl/sharedStrings.xml><?xml version="1.0" encoding="utf-8"?>
<sst xmlns="http://schemas.openxmlformats.org/spreadsheetml/2006/main" count="274" uniqueCount="261">
  <si>
    <t xml:space="preserve">Karur Vysya Bank - Initiating Coverage Model</t>
  </si>
  <si>
    <t xml:space="preserve">Prepared by Gaurav Waghmode | Price date 30-Sep-2026 | Student research exercise - not investment advice; author is not SEBI-registered</t>
  </si>
  <si>
    <t xml:space="preserve">CMP (Rs)</t>
  </si>
  <si>
    <t xml:space="preserve">12-month target (Rs)</t>
  </si>
  <si>
    <t xml:space="preserve">Upside / (downside)</t>
  </si>
  <si>
    <t xml:space="preserve">Rating</t>
  </si>
  <si>
    <t xml:space="preserve">Cost of equity</t>
  </si>
  <si>
    <t xml:space="preserve">Justified P/ABV</t>
  </si>
  <si>
    <t xml:space="preserve">FY27E EPS (Rs)</t>
  </si>
  <si>
    <t xml:space="preserve">FY28E ROE</t>
  </si>
  <si>
    <t xml:space="preserve">FY28E ROA</t>
  </si>
  <si>
    <t xml:space="preserve">Scenario running</t>
  </si>
  <si>
    <t xml:space="preserve">HOW TO USE</t>
  </si>
  <si>
    <t xml:space="preserve">1. Change yellow cells on 'Model' (forecast drivers) and 'Valuation' (Ke, g, weights). Everything else recalculates.</t>
  </si>
  <si>
    <t xml:space="preserve">2. Flip the scenario switch at Model!B3 (1 Bear / 2 Base / 3 Bull).</t>
  </si>
  <si>
    <t xml:space="preserve">3. After each quarterly result, paste the new quarter into 'Quarterly' and re-check the FY27E drivers.</t>
  </si>
  <si>
    <t xml:space="preserve">COLOUR CODE: blue text = hard-coded input | black = formula | green = link to another sheet | yellow fill = key assumption</t>
  </si>
  <si>
    <t xml:space="preserve">SOURCES</t>
  </si>
  <si>
    <t xml:space="preserve">Screener.in company page (P&amp;L, balance sheet, quarterly results, GNPA/NNPA), fetched 30-Sep-2026.</t>
  </si>
  <si>
    <t xml:space="preserve">KVB Q4FY26 earnings call transcript (7-May-2026): FY26 operating profit, opex growth, provisions detail, NIM, CRAR 18.76%, FY27 guidance.</t>
  </si>
  <si>
    <t xml:space="preserve">KVB FY24 Directors report: FY23-24 advances, operating profit, CASA. MarketsMojo/C-MOTS: GNPA/NNPA amounts, PCR history.</t>
  </si>
  <si>
    <t xml:space="preserve">Q1FY27 results coverage (Kotak Neo, PSU Connect, Angel One): NIM 4.26%, ROA 2.11%, ROE 20.24%, cost-to-income 41.79%, PCR 96.21%, CASA Rs33,777cr.</t>
  </si>
  <si>
    <t xml:space="preserve">Trading Economics: India 10Y G-sec ~7.1% (15-Sep-2026). Business Standard (May-2022): FY22 operating profit Rs1,630cr.</t>
  </si>
  <si>
    <t xml:space="preserve">VERIFY every blue number against the annual report before you use this model in an interview.</t>
  </si>
  <si>
    <t xml:space="preserve">Karur Vysya Bank (NSE: KARURVYSYA) - Operating model</t>
  </si>
  <si>
    <t xml:space="preserve">Standalone. History from company filings/Screener; FY27E-FY29E are analyst estimates. Blue = input, black = formula, green = link, yellow = key assumption.</t>
  </si>
  <si>
    <t xml:space="preserve">Scenario switch (1 Bear, 2 Base, 3 Bull)</t>
  </si>
  <si>
    <t xml:space="preserve">Bear</t>
  </si>
  <si>
    <t xml:space="preserve">Base</t>
  </si>
  <si>
    <t xml:space="preserve">Bull</t>
  </si>
  <si>
    <t xml:space="preserve">Active</t>
  </si>
  <si>
    <t xml:space="preserve">Loan &amp; deposit growth delta</t>
  </si>
  <si>
    <t xml:space="preserve">Capital / net worth (Tier1+2 factor)</t>
  </si>
  <si>
    <t xml:space="preserve">Yield on earning assets delta</t>
  </si>
  <si>
    <t xml:space="preserve">Fixed assets growth (forecast)</t>
  </si>
  <si>
    <t xml:space="preserve">Credit cost delta</t>
  </si>
  <si>
    <t xml:space="preserve">Write-off recoveries multiplier</t>
  </si>
  <si>
    <t xml:space="preserve">INR crore unless stated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</si>
  <si>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</si>
  <si>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</si>
  <si>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</si>
  <si>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</si>
  <si>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</si>
  <si>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FY27E</t>
  </si>
  <si>
    <t xml:space="preserve">FY28E</t>
  </si>
  <si>
    <t xml:space="preserve">FY29E</t>
  </si>
  <si>
    <t xml:space="preserve">Source / comment</t>
  </si>
  <si>
    <t xml:space="preserve">BALANCE SHEET</t>
  </si>
  <si>
    <t xml:space="preserve">Advances (gross)</t>
  </si>
  <si>
    <t xml:space="preserve">FY23-26: company (Directors report, Q4 call). FY22 derived: GNPA Rs3,431cr / 5.96%.</t>
  </si>
  <si>
    <t xml:space="preserve">  Advances growth (base input; scenario delta added)</t>
  </si>
  <si>
    <t xml:space="preserve">Mgmt: credit growth 1-2% above industry (Q4FY26 call); Q1FY27 +17.1% YoY.</t>
  </si>
  <si>
    <t xml:space="preserve">Deposits</t>
  </si>
  <si>
    <t xml:space="preserve">Screener balance sheet; Q1FY27 Rs1,22,587cr (+14.9% YoY).</t>
  </si>
  <si>
    <t xml:space="preserve">  Deposit growth</t>
  </si>
  <si>
    <t xml:space="preserve">Investments</t>
  </si>
  <si>
    <t xml:space="preserve">  Investments / deposits</t>
  </si>
  <si>
    <t xml:space="preserve">Borrowings</t>
  </si>
  <si>
    <t xml:space="preserve">  Borrowings / deposits</t>
  </si>
  <si>
    <t xml:space="preserve">Other liabilities &amp; provisions</t>
  </si>
  <si>
    <t xml:space="preserve">  Other liabilities / deposits</t>
  </si>
  <si>
    <t xml:space="preserve">Net worth (equity + reserves)</t>
  </si>
  <si>
    <t xml:space="preserve">Forecast: opening + PAT - dividends (no equity raise; mgmt: no capital need in FY27).</t>
  </si>
  <si>
    <t xml:space="preserve">Total liabilities &amp; equity</t>
  </si>
  <si>
    <t xml:space="preserve">Fixed assets incl. CWIP</t>
  </si>
  <si>
    <t xml:space="preserve">Cash, RBI balances &amp; other assets (plug)</t>
  </si>
  <si>
    <t xml:space="preserve">Balancing item. History derived so the sheet balances (reported totals differ by &lt;=1 from rounding).</t>
  </si>
  <si>
    <t xml:space="preserve">Total assets</t>
  </si>
  <si>
    <t xml:space="preserve">Check: assets - liabilities (must be 0)</t>
  </si>
  <si>
    <t xml:space="preserve">PROFIT &amp; LOSS</t>
  </si>
  <si>
    <t xml:space="preserve">Interest earned</t>
  </si>
  <si>
    <t xml:space="preserve">Screener P&amp;L (C-MOTS). Forecast = yield x avg earning assets.</t>
  </si>
  <si>
    <t xml:space="preserve">Interest expended</t>
  </si>
  <si>
    <t xml:space="preserve">Net interest income (NII)</t>
  </si>
  <si>
    <t xml:space="preserve">Core other income (fees, treasury, other)</t>
  </si>
  <si>
    <t xml:space="preserve">FY25-26 = total other income less write-off recoveries (Rs638cr / Rs679cr per Q4FY26 call). FY22-24 recoveries not split out.</t>
  </si>
  <si>
    <t xml:space="preserve">  Core other income growth</t>
  </si>
  <si>
    <t xml:space="preserve">  Write-off recoveries - base input</t>
  </si>
  <si>
    <t xml:space="preserve">Key call: recoveries fade as the written-off pool is used up (mgmt: "perennially we cannot have write-off recovery").</t>
  </si>
  <si>
    <t xml:space="preserve">Recoveries from written-off accounts</t>
  </si>
  <si>
    <t xml:space="preserve">Total other income</t>
  </si>
  <si>
    <t xml:space="preserve">Total income (NII + other income)</t>
  </si>
  <si>
    <t xml:space="preserve">Operating expenses</t>
  </si>
  <si>
    <t xml:space="preserve">Total income less reported operating profit (FY22 Rs1,630cr; FY23 Rs2,476cr; FY24 Rs2,829cr; FY26 Rs4,075cr, +26.85% YoY).</t>
  </si>
  <si>
    <t xml:space="preserve">  Opex growth</t>
  </si>
  <si>
    <t xml:space="preserve">50 new branches in FY27, wage revision due; FY26 growth flattered by pension discount-rate gain.</t>
  </si>
  <si>
    <t xml:space="preserve">Pre-provision operating profit (PPOP)</t>
  </si>
  <si>
    <t xml:space="preserve">Provisions &amp; contingencies</t>
  </si>
  <si>
    <t xml:space="preserve">PPOP less PBT. FY26 includes Rs163cr one-time prudential provision (West Asia).</t>
  </si>
  <si>
    <t xml:space="preserve">Profit before tax</t>
  </si>
  <si>
    <t xml:space="preserve">Tax</t>
  </si>
  <si>
    <t xml:space="preserve">  Effective tax rate</t>
  </si>
  <si>
    <t xml:space="preserve">Net profit (PAT)</t>
  </si>
  <si>
    <t xml:space="preserve">Reported PAT: FY22 673, FY23 1,106, FY24 1,605, FY25 1,942, FY26 2,510.</t>
  </si>
  <si>
    <t xml:space="preserve">  Dividend payout</t>
  </si>
  <si>
    <t xml:space="preserve">Dividends</t>
  </si>
  <si>
    <t xml:space="preserve">KEY RATIOS</t>
  </si>
  <si>
    <t xml:space="preserve">Avg earning assets (advances + investments)</t>
  </si>
  <si>
    <t xml:space="preserve">  Yield on earning assets - base input</t>
  </si>
  <si>
    <t xml:space="preserve">Q1FY27 yield on advances 10.01%; 55% of loans are repo-linked (EBLR) and reprice up if RBI hikes.</t>
  </si>
  <si>
    <t xml:space="preserve">Yield on avg earning assets</t>
  </si>
  <si>
    <t xml:space="preserve">Avg deposits + borrowings</t>
  </si>
  <si>
    <t xml:space="preserve">Cost of funds</t>
  </si>
  <si>
    <t xml:space="preserve">Mgmt raised retail TD rates Apr-26 (new TDs 7.2-7.5%); Q1FY27 cost of deposits 5.45%.</t>
  </si>
  <si>
    <t xml:space="preserve">NIM (calc.: NII / avg earning assets)</t>
  </si>
  <si>
    <t xml:space="preserve">Reported NIM (wider asset base): FY26 3.97% ex one-offs; Q1FY27 4.26%. FY27 guidance 3.75-3.80%.</t>
  </si>
  <si>
    <t xml:space="preserve">Cost-to-income</t>
  </si>
  <si>
    <t xml:space="preserve">Reported FY26 42%; Q1FY27 41.8%. Guidance &lt;50%.</t>
  </si>
  <si>
    <t xml:space="preserve">Avg advances</t>
  </si>
  <si>
    <t xml:space="preserve">  Credit cost - base input</t>
  </si>
  <si>
    <t xml:space="preserve">FY27: Q1 run-rate low (~0.35% annualised); FY28 step-up for ECL transition (RBI final ECL rules) and normalisation. Guidance &lt;1%.</t>
  </si>
  <si>
    <t xml:space="preserve">Credit cost (provisions / avg advances)</t>
  </si>
  <si>
    <t xml:space="preserve">Avg total assets</t>
  </si>
  <si>
    <t xml:space="preserve">Return on assets (ROA)</t>
  </si>
  <si>
    <t xml:space="preserve">Reported FY26 ROA 1.93% (0.12% from one-offs). FY27 guidance 1.7-1.8%.</t>
  </si>
  <si>
    <t xml:space="preserve">Avg net worth</t>
  </si>
  <si>
    <t xml:space="preserve">Return on equity (ROE)</t>
  </si>
  <si>
    <t xml:space="preserve">Credit-deposit ratio</t>
  </si>
  <si>
    <t xml:space="preserve">CASA ratio (reported)</t>
  </si>
  <si>
    <t xml:space="preserve">FY23-24 annual report; FY25-26 derived from CASA Rs27,832cr / Rs31,122cr. Q1FY27 27.6%.</t>
  </si>
  <si>
    <t xml:space="preserve">Gross NPA %</t>
  </si>
  <si>
    <t xml:space="preserve">Guidance: GNPA &lt;1.5%, slippage &lt;1%. FY26 slippage Rs744cr (0.75%).</t>
  </si>
  <si>
    <t xml:space="preserve">Net NPA %</t>
  </si>
  <si>
    <t xml:space="preserve">Provision coverage (incl. technical write-offs)</t>
  </si>
  <si>
    <t xml:space="preserve">Net NPA (Rs cr)</t>
  </si>
  <si>
    <t xml:space="preserve">PER SHARE (bonus-adjusted, 96.5 crore shares)</t>
  </si>
  <si>
    <t xml:space="preserve">Shares outstanding (crore)</t>
  </si>
  <si>
    <t xml:space="preserve">Equity capital Rs193cr / face value Rs2 (after 1:5 bonus in FY26).</t>
  </si>
  <si>
    <t xml:space="preserve">EPS (Rs)</t>
  </si>
  <si>
    <t xml:space="preserve">Book value per share (Rs)</t>
  </si>
  <si>
    <t xml:space="preserve">Adjusted BVPS (BV less net NPA) (Rs)</t>
  </si>
  <si>
    <t xml:space="preserve">DPS (Rs)</t>
  </si>
  <si>
    <t xml:space="preserve">CAPITAL (approximate check - can growth be funded without raising equity?)</t>
  </si>
  <si>
    <t xml:space="preserve">CRAR reported</t>
  </si>
  <si>
    <t xml:space="preserve">Q4FY26 call. LCR 125%.</t>
  </si>
  <si>
    <t xml:space="preserve">Risk-weighted assets (est.)</t>
  </si>
  <si>
    <t xml:space="preserve">RWA density (RWA / total assets)</t>
  </si>
  <si>
    <t xml:space="preserve">Mgmt aims to lift RWA/TA toward 65% over time (more BBB/BB corporate risk).</t>
  </si>
  <si>
    <t xml:space="preserve">CRAR (est.)</t>
  </si>
  <si>
    <t xml:space="preserve">Stays well above the 11.5% regulatory minimum (incl. CCB): no equity raise needed.</t>
  </si>
  <si>
    <t xml:space="preserve">DUPONT - ROA TREE (% of avg total assets)</t>
  </si>
  <si>
    <t xml:space="preserve">NII</t>
  </si>
  <si>
    <t xml:space="preserve">+ Other income</t>
  </si>
  <si>
    <t xml:space="preserve">- Operating expenses</t>
  </si>
  <si>
    <t xml:space="preserve">- Provisions</t>
  </si>
  <si>
    <t xml:space="preserve">- Tax</t>
  </si>
  <si>
    <t xml:space="preserve">ROA (sum of the above)</t>
  </si>
  <si>
    <t xml:space="preserve">Valuation - Karur Vysya Bank</t>
  </si>
  <si>
    <t xml:space="preserve">Price date: 30-Sep-2026. Target horizon: 12 months (Sep-2027).</t>
  </si>
  <si>
    <t xml:space="preserve">SENSITIVITY 1: P/ABV fair value (Rs) - Ke (rows) x g (columns)</t>
  </si>
  <si>
    <t xml:space="preserve">Screener, close 30-Sep-2026</t>
  </si>
  <si>
    <t xml:space="preserve">Risk-free rate (10Y G-sec)</t>
  </si>
  <si>
    <t xml:space="preserve">~7.1% mid-Sep 2026 (four-month high; Trading Economics)</t>
  </si>
  <si>
    <t xml:space="preserve">Beta</t>
  </si>
  <si>
    <t xml:space="preserve">Assumption: mid-size private bank vs Nifty; test in sensitivity</t>
  </si>
  <si>
    <t xml:space="preserve">Equity risk premium</t>
  </si>
  <si>
    <t xml:space="preserve">Assumption (Indian broker range 5-7%)</t>
  </si>
  <si>
    <t xml:space="preserve">Cost of equity (CAPM) = Rf + Beta x ERP</t>
  </si>
  <si>
    <t xml:space="preserve">Long-term growth (g)</t>
  </si>
  <si>
    <t xml:space="preserve">Nominal GDP-like growth; must stay below Ke</t>
  </si>
  <si>
    <t xml:space="preserve">METHOD 1: Justified P/ABV (Gordon growth)</t>
  </si>
  <si>
    <t xml:space="preserve">SENSITIVITY 2: P/ABV fair value (Rs) - change in NIM (rows, bps) x change in credit cost (cols, bps)</t>
  </si>
  <si>
    <t xml:space="preserve">Sustainable ROE (avg FY28E-FY29E)</t>
  </si>
  <si>
    <t xml:space="preserve">First-order: holds FY28E balance sheet constant; ROE shift = (dNIM x EA/NW - dCC x Adv/NW) x (1 - tax)</t>
  </si>
  <si>
    <t xml:space="preserve">Justified P/ABV = (ROE - g) / (Ke - g)</t>
  </si>
  <si>
    <t xml:space="preserve">ABVPS FY27E (Rs)</t>
  </si>
  <si>
    <t xml:space="preserve">ABVPS FY28E (Rs)</t>
  </si>
  <si>
    <t xml:space="preserve">ABVPS Sep-27E (Rs) = average</t>
  </si>
  <si>
    <t xml:space="preserve">Fair value - P/ABV method (Rs)</t>
  </si>
  <si>
    <t xml:space="preserve">METHOD 2: Residual income (RI) model</t>
  </si>
  <si>
    <t xml:space="preserve">Opening BVPS (Rs)</t>
  </si>
  <si>
    <t xml:space="preserve">SCENARIOS (values captured by running the model with switch = 1, 2, 3 on Model!B3)</t>
  </si>
  <si>
    <t xml:space="preserve">ROE</t>
  </si>
  <si>
    <t xml:space="preserve">Scenario</t>
  </si>
  <si>
    <t xml:space="preserve">Probability</t>
  </si>
  <si>
    <t xml:space="preserve">FY28E EPS</t>
  </si>
  <si>
    <t xml:space="preserve">Target (Rs)</t>
  </si>
  <si>
    <t xml:space="preserve">Upside</t>
  </si>
  <si>
    <t xml:space="preserve">Residual income = (ROE - Ke) x opening BV</t>
  </si>
  <si>
    <t xml:space="preserve">Discount factor at Ke (from Mar-26)</t>
  </si>
  <si>
    <t xml:space="preserve">PV of residual income</t>
  </si>
  <si>
    <t xml:space="preserve">Long-run RI growth (= g, consistent with Method 1; lower it to model ROE fade)</t>
  </si>
  <si>
    <t xml:space="preserve">Probability-weighted</t>
  </si>
  <si>
    <t xml:space="preserve">Terminal value of RI (at FY29E)</t>
  </si>
  <si>
    <t xml:space="preserve">Scenario values are pasted from runs of the switch at Model!B3 (re-run after changing inputs).</t>
  </si>
  <si>
    <t xml:space="preserve">PV of terminal value</t>
  </si>
  <si>
    <t xml:space="preserve">Value at Mar-26 = BV0 + PV(RI) + PV(TV)</t>
  </si>
  <si>
    <t xml:space="preserve">Value today (Sep-26) = x (1+Ke)^0.5</t>
  </si>
  <si>
    <t xml:space="preserve">12-month fair value = today x (1+Ke) - DPS FY27E</t>
  </si>
  <si>
    <t xml:space="preserve">BLENDED TARGET</t>
  </si>
  <si>
    <t xml:space="preserve">Weight: P/ABV method</t>
  </si>
  <si>
    <t xml:space="preserve">Weight: RI method</t>
  </si>
  <si>
    <t xml:space="preserve">12-month target price (Rs)</t>
  </si>
  <si>
    <t xml:space="preserve">Upside / (downside) vs CMP</t>
  </si>
  <si>
    <t xml:space="preserve">Rating (BUY &gt;+15%; HOLD -10% to +15%; SELL &lt;-10%)</t>
  </si>
  <si>
    <t xml:space="preserve">MULTIPLES CHECK</t>
  </si>
  <si>
    <t xml:space="preserve">P/BV on FY26 book (current)</t>
  </si>
  <si>
    <t xml:space="preserve">P/ABV on Sep-27E (current)</t>
  </si>
  <si>
    <t xml:space="preserve">P/E on FY27E EPS (current)</t>
  </si>
  <si>
    <t xml:space="preserve">P/E on FY28E EPS (current)</t>
  </si>
  <si>
    <t xml:space="preserve">Target implied P/ABV (Sep-27E)</t>
  </si>
  <si>
    <t xml:space="preserve">Target implied P/E (FY28E)</t>
  </si>
  <si>
    <t xml:space="preserve">KVB - quarterly results tracker (source: Screener / company filings; standalone)</t>
  </si>
  <si>
    <t xml:space="preserve">INR crore</t>
  </si>
  <si>
    <t xml:space="preserve">Jun-23</t>
  </si>
  <si>
    <t xml:space="preserve">Sep-23</t>
  </si>
  <si>
    <t xml:space="preserve">Dec-23</t>
  </si>
  <si>
    <t xml:space="preserve">Mar-24</t>
  </si>
  <si>
    <t xml:space="preserve">Jun-24</t>
  </si>
  <si>
    <t xml:space="preserve">Sep-24</t>
  </si>
  <si>
    <t xml:space="preserve">Dec-24</t>
  </si>
  <si>
    <t xml:space="preserve">Mar-25</t>
  </si>
  <si>
    <t xml:space="preserve">Jun-25</t>
  </si>
  <si>
    <t xml:space="preserve">Sep-25</t>
  </si>
  <si>
    <t xml:space="preserve">Dec-25</t>
  </si>
  <si>
    <t xml:space="preserve">Mar-26</t>
  </si>
  <si>
    <t xml:space="preserve">Jun-26</t>
  </si>
  <si>
    <t xml:space="preserve">Opex + provisions</t>
  </si>
  <si>
    <t xml:space="preserve">Other income</t>
  </si>
  <si>
    <t xml:space="preserve">Net profit</t>
  </si>
  <si>
    <t xml:space="preserve">NII (screener basis)</t>
  </si>
  <si>
    <t xml:space="preserve">PBT</t>
  </si>
  <si>
    <t xml:space="preserve">NII growth YoY</t>
  </si>
  <si>
    <t xml:space="preserve">Net profit growth YoY</t>
  </si>
  <si>
    <t xml:space="preserve">Note: company-reported NII for Q1FY27 was Rs1,500cr (NIM 4.26%) vs Rs1,422cr here; Screener classifies some interest items as other income. PBT/PAT tie exactly. Next result: 15-Oct-2026.</t>
  </si>
  <si>
    <t xml:space="preserve">Private-sector bank comps (Screener industry table + company pages, 30-Sep-2026; consolidated where shown)</t>
  </si>
  <si>
    <t xml:space="preserve">Bank</t>
  </si>
  <si>
    <t xml:space="preserve">P/E (TTM)</t>
  </si>
  <si>
    <t xml:space="preserve">Mkt cap (Rs cr)</t>
  </si>
  <si>
    <t xml:space="preserve">Div yld %</t>
  </si>
  <si>
    <t xml:space="preserve">PAT Q1FY27</t>
  </si>
  <si>
    <t xml:space="preserve">PAT YoY %</t>
  </si>
  <si>
    <t xml:space="preserve">Int. earned Q1FY27</t>
  </si>
  <si>
    <t xml:space="preserve">Int. earned YoY %</t>
  </si>
  <si>
    <t xml:space="preserve">Book value/sh</t>
  </si>
  <si>
    <t xml:space="preserve">ROE %</t>
  </si>
  <si>
    <t xml:space="preserve">P/B</t>
  </si>
  <si>
    <t xml:space="preserve">HDFC Bank</t>
  </si>
  <si>
    <t xml:space="preserve">ICICI Bank</t>
  </si>
  <si>
    <t xml:space="preserve">Kotak Mahindra Bank</t>
  </si>
  <si>
    <t xml:space="preserve">Axis Bank</t>
  </si>
  <si>
    <t xml:space="preserve">IDBI Bank</t>
  </si>
  <si>
    <t xml:space="preserve">Federal Bank</t>
  </si>
  <si>
    <t xml:space="preserve">IndusInd Bank</t>
  </si>
  <si>
    <t xml:space="preserve">IDFC First Bank</t>
  </si>
  <si>
    <t xml:space="preserve">Yes Bank</t>
  </si>
  <si>
    <t xml:space="preserve">RBL Bank</t>
  </si>
  <si>
    <t xml:space="preserve">Karur Vysya Bank</t>
  </si>
  <si>
    <t xml:space="preserve">Bandhan Bank</t>
  </si>
  <si>
    <t xml:space="preserve">City Union Bank</t>
  </si>
  <si>
    <t xml:space="preserve">J&amp;K Bank</t>
  </si>
  <si>
    <t xml:space="preserve">Tamilnad Mercantile Bank</t>
  </si>
  <si>
    <t xml:space="preserve">South Indian Bank</t>
  </si>
  <si>
    <t xml:space="preserve">Karnataka Bank</t>
  </si>
  <si>
    <t xml:space="preserve">DCB Bank</t>
  </si>
  <si>
    <t xml:space="preserve">CSB Bank</t>
  </si>
  <si>
    <t xml:space="preserve">Dhanlaxmi Bank</t>
  </si>
  <si>
    <t xml:space="preserve">Median - all 20 banks</t>
  </si>
  <si>
    <t xml:space="preserve">Median - mid/small (mkt cap &lt; Rs35,000 cr)</t>
  </si>
  <si>
    <t xml:space="preserve">KVB P/E premium/(discount) to mid/small median</t>
  </si>
  <si>
    <t xml:space="preserve">Book value &amp; ROE filled for 3 banks (company pages). EXERCISE: fill J:K for the rest from each Screener page, then run p3 comps tool for the P/B-vs-ROE regression.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</si>
</sst>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;\(#,##0.00\);\-"/>
    <numFmt numFmtId="166" formatCode="#,##0;\(#,##0\);\-"/>
    <numFmt numFmtId="167" formatCode="0.0%;\(0.0%\);\-"/>
    <numFmt numFmtId="168" formatCode="0.00%;\(0.00%\);\-"/>
    <numFmt numFmtId="169" formatCode="0.00\x"/>
    <numFmt numFmtId="170" formatCode="#,##0.0;\(#,##0.0\);\-"/>
    <numFmt numFmtId="171" formatCode="0"/>
    <numFmt numFmtId="172" formatCode="0%"/>
    <numFmt numFmtId="173" formatCode="0.0%"/>
    <numFmt numFmtId="174" formatCode="#,##0.0"/>
    <numFmt numFmtId="175" formatCode="#,##0"/>
    <numFmt numFmtId="176" formatCode="0.0%;\(0.0%\)"/>
    <numFmt numFmtId="177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DEFF3"/>
        <bgColor rgb="FFFFFFFF"/>
      </patternFill>
    </fill>
    <fill>
      <patternFill patternType="solid">
        <fgColor rgb="FFFFF2CC"/>
        <bgColor rgb="FFEDEF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Valuation!B4</f>
        <v>325</v>
      </c>
    </row>
    <row r="5" customFormat="false" ht="15" hidden="false" customHeight="true" outlineLevel="0" collapsed="false">
      <c r="A5" s="4" t="s">
        <v>3</v>
      </c>
      <c r="B5" s="6" t="n">
        <f aca="false">Valuation!B36</f>
        <v>300.071347218836</v>
      </c>
    </row>
    <row r="6" customFormat="false" ht="15" hidden="false" customHeight="true" outlineLevel="0" collapsed="false">
      <c r="A6" s="4" t="s">
        <v>4</v>
      </c>
      <c r="B6" s="7" t="n">
        <f aca="false">Valuation!B37</f>
        <v>-0.0767035470189662</v>
      </c>
    </row>
    <row r="7" customFormat="false" ht="15" hidden="false" customHeight="true" outlineLevel="0" collapsed="false">
      <c r="A7" s="4" t="s">
        <v>5</v>
      </c>
      <c r="B7" s="8" t="str">
        <f aca="false">Valuation!B38</f>
        <v>HOLD</v>
      </c>
    </row>
    <row r="8" customFormat="false" ht="15" hidden="false" customHeight="true" outlineLevel="0" collapsed="false">
      <c r="A8" s="4" t="s">
        <v>6</v>
      </c>
      <c r="B8" s="9" t="n">
        <f aca="false">Valuation!B8</f>
        <v>0.136</v>
      </c>
    </row>
    <row r="9" customFormat="false" ht="15" hidden="false" customHeight="true" outlineLevel="0" collapsed="false">
      <c r="A9" s="4" t="s">
        <v>7</v>
      </c>
      <c r="B9" s="10" t="n">
        <f aca="false">Valuation!B13</f>
        <v>1.62718130303189</v>
      </c>
    </row>
    <row r="10" customFormat="false" ht="15" hidden="false" customHeight="true" outlineLevel="0" collapsed="false">
      <c r="A10" s="4" t="s">
        <v>8</v>
      </c>
      <c r="B10" s="5" t="n">
        <f aca="false">Model!G71</f>
        <v>30.9802872820725</v>
      </c>
    </row>
    <row r="11" customFormat="false" ht="15" hidden="false" customHeight="true" outlineLevel="0" collapsed="false">
      <c r="A11" s="4" t="s">
        <v>9</v>
      </c>
      <c r="B11" s="7" t="n">
        <f aca="false">Model!H62</f>
        <v>0.171080923168329</v>
      </c>
    </row>
    <row r="12" customFormat="false" ht="15" hidden="false" customHeight="true" outlineLevel="0" collapsed="false">
      <c r="A12" s="4" t="s">
        <v>10</v>
      </c>
      <c r="B12" s="9" t="n">
        <f aca="false">Model!H60</f>
        <v>0.0181918090515036</v>
      </c>
    </row>
    <row r="13" customFormat="false" ht="15" hidden="false" customHeight="true" outlineLevel="0" collapsed="false">
      <c r="A13" s="4" t="s">
        <v>11</v>
      </c>
      <c r="B13" s="8" t="str">
        <f aca="false">CHOOSE(Model!B3,"Bear","Base","Bull")</f>
        <v>Base</v>
      </c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11" t="s">
        <v>13</v>
      </c>
    </row>
    <row r="18" customFormat="false" ht="15" hidden="false" customHeight="true" outlineLevel="0" collapsed="false">
      <c r="A18" s="11" t="s">
        <v>14</v>
      </c>
    </row>
    <row r="19" customFormat="false" ht="15" hidden="false" customHeight="true" outlineLevel="0" collapsed="false">
      <c r="A19" s="11" t="s">
        <v>15</v>
      </c>
    </row>
    <row r="20" customFormat="false" ht="15" hidden="false" customHeight="true" outlineLevel="0" collapsed="false">
      <c r="A20" s="11"/>
    </row>
    <row r="21" customFormat="false" ht="15" hidden="false" customHeight="true" outlineLevel="0" collapsed="false">
      <c r="A21" s="11" t="s">
        <v>16</v>
      </c>
    </row>
    <row r="22" customFormat="false" ht="15" hidden="false" customHeight="true" outlineLevel="0" collapsed="false">
      <c r="A22" s="11"/>
    </row>
    <row r="23" customFormat="false" ht="15" hidden="false" customHeight="true" outlineLevel="0" collapsed="false">
      <c r="A23" s="4" t="s">
        <v>17</v>
      </c>
    </row>
    <row r="24" customFormat="false" ht="15" hidden="false" customHeight="true" outlineLevel="0" collapsed="false">
      <c r="A24" s="11" t="s">
        <v>18</v>
      </c>
    </row>
    <row r="25" customFormat="false" ht="15" hidden="false" customHeight="true" outlineLevel="0" collapsed="false">
      <c r="A25" s="11" t="s">
        <v>19</v>
      </c>
    </row>
    <row r="26" customFormat="false" ht="15" hidden="false" customHeight="true" outlineLevel="0" collapsed="false">
      <c r="A26" s="11" t="s">
        <v>20</v>
      </c>
    </row>
    <row r="27" customFormat="false" ht="15" hidden="false" customHeight="true" outlineLevel="0" collapsed="false">
      <c r="A27" s="11" t="s">
        <v>21</v>
      </c>
    </row>
    <row r="28" customFormat="false" ht="15" hidden="false" customHeight="true" outlineLevel="0" collapsed="false">
      <c r="A28" s="11" t="s">
        <v>22</v>
      </c>
    </row>
    <row r="29" customFormat="false" ht="15" hidden="false" customHeight="true" outlineLevel="0" collapsed="false">
      <c r="A29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9" min="2" style="1" width="11"/>
    <col collapsed="false" customWidth="true" hidden="false" outlineLevel="0" max="10" min="10" style="1" width="70"/>
  </cols>
  <sheetData>
    <row r="1" customFormat="false" ht="15.75" hidden="false" customHeight="true" outlineLevel="0" collapsed="false">
      <c r="A1" s="12" t="s">
        <v>24</v>
      </c>
    </row>
    <row r="2" customFormat="false" ht="15" hidden="false" customHeight="true" outlineLevel="0" collapsed="false">
      <c r="A2" s="3" t="s">
        <v>25</v>
      </c>
    </row>
    <row r="3" customFormat="false" ht="15" hidden="false" customHeight="true" outlineLevel="0" collapsed="false">
      <c r="A3" s="4" t="s">
        <v>26</v>
      </c>
      <c r="B3" s="13" t="n">
        <v>2</v>
      </c>
    </row>
    <row r="4" customFormat="false" ht="15" hidden="false" customHeight="true" outlineLevel="0" collapsed="false">
      <c r="B4" s="14" t="s">
        <v>27</v>
      </c>
      <c r="C4" s="14" t="s">
        <v>28</v>
      </c>
      <c r="D4" s="14" t="s">
        <v>29</v>
      </c>
      <c r="E4" s="14" t="s">
        <v>30</v>
      </c>
    </row>
    <row r="5" customFormat="false" ht="15" hidden="false" customHeight="true" outlineLevel="0" collapsed="false">
      <c r="A5" s="11" t="s">
        <v>31</v>
      </c>
      <c r="B5" s="15" t="n">
        <v>-0.04</v>
      </c>
      <c r="C5" s="15" t="n">
        <v>0</v>
      </c>
      <c r="D5" s="15" t="n">
        <v>0.02</v>
      </c>
      <c r="E5" s="16" t="n">
        <f aca="false">CHOOSE($B$3,B5,C5,D5)</f>
        <v>0</v>
      </c>
      <c r="G5" s="11" t="s">
        <v>32</v>
      </c>
      <c r="I5" s="17" t="n">
        <v>1.03</v>
      </c>
    </row>
    <row r="6" customFormat="false" ht="15" hidden="false" customHeight="true" outlineLevel="0" collapsed="false">
      <c r="A6" s="11" t="s">
        <v>33</v>
      </c>
      <c r="B6" s="18" t="n">
        <v>-0.0015</v>
      </c>
      <c r="C6" s="18" t="n">
        <v>0</v>
      </c>
      <c r="D6" s="18" t="n">
        <v>0.001</v>
      </c>
      <c r="E6" s="19" t="n">
        <f aca="false">CHOOSE($B$3,B6,C6,D6)</f>
        <v>0</v>
      </c>
      <c r="G6" s="11" t="s">
        <v>34</v>
      </c>
      <c r="I6" s="15" t="n">
        <v>0.08</v>
      </c>
    </row>
    <row r="7" customFormat="false" ht="15" hidden="false" customHeight="true" outlineLevel="0" collapsed="false">
      <c r="A7" s="11" t="s">
        <v>35</v>
      </c>
      <c r="B7" s="18" t="n">
        <v>0.003</v>
      </c>
      <c r="C7" s="18" t="n">
        <v>0</v>
      </c>
      <c r="D7" s="18" t="n">
        <v>-0.001</v>
      </c>
      <c r="E7" s="19" t="n">
        <f aca="false">CHOOSE($B$3,B7,C7,D7)</f>
        <v>0</v>
      </c>
    </row>
    <row r="8" customFormat="false" ht="15" hidden="false" customHeight="true" outlineLevel="0" collapsed="false">
      <c r="A8" s="11" t="s">
        <v>36</v>
      </c>
      <c r="B8" s="17" t="n">
        <v>0.6</v>
      </c>
      <c r="C8" s="17" t="n">
        <v>1</v>
      </c>
      <c r="D8" s="17" t="n">
        <v>1.2</v>
      </c>
      <c r="E8" s="20" t="n">
        <f aca="false">CHOOSE($B$3,B8,C8,D8)</f>
        <v>1</v>
      </c>
    </row>
    <row r="10" customFormat="false" ht="15" hidden="false" customHeight="true" outlineLevel="0" collapsed="false">
      <c r="A10" s="21" t="s">
        <v>37</v>
      </c>
      <c r="B10" s="22" t="s">
        <v>38</v>
      </c>
      <c r="C10" s="22" t="s">
        <v>39</v>
      </c>
      <c r="D10" s="22" t="s">
        <v>40</v>
      </c>
      <c r="E10" s="22" t="s">
        <v>41</v>
      </c>
      <c r="F10" s="22" t="s">
        <v>42</v>
      </c>
      <c r="G10" s="22" t="s">
        <v>43</v>
      </c>
      <c r="H10" s="22" t="s">
        <v>44</v>
      </c>
      <c r="I10" s="22" t="s">
        <v>45</v>
      </c>
      <c r="J10" s="22" t="s">
        <v>46</v>
      </c>
    </row>
    <row r="11" customFormat="false" ht="15" hidden="false" customHeight="true" outlineLevel="0" collapsed="false">
      <c r="A11" s="23" t="s">
        <v>47</v>
      </c>
      <c r="B11" s="24"/>
      <c r="C11" s="24"/>
      <c r="D11" s="24"/>
      <c r="E11" s="24"/>
      <c r="F11" s="24"/>
      <c r="G11" s="24"/>
      <c r="H11" s="24"/>
      <c r="I11" s="24"/>
      <c r="J11" s="24"/>
    </row>
    <row r="12" customFormat="false" ht="15" hidden="false" customHeight="true" outlineLevel="0" collapsed="false">
      <c r="A12" s="11" t="s">
        <v>48</v>
      </c>
      <c r="B12" s="25" t="n">
        <v>57568</v>
      </c>
      <c r="C12" s="25" t="n">
        <v>64168</v>
      </c>
      <c r="D12" s="25" t="n">
        <v>74423</v>
      </c>
      <c r="E12" s="25" t="n">
        <v>84491</v>
      </c>
      <c r="F12" s="25" t="n">
        <v>98754</v>
      </c>
      <c r="G12" s="26" t="n">
        <f aca="false">F12*(1+G13+$E$5)</f>
        <v>115542.18</v>
      </c>
      <c r="H12" s="26" t="n">
        <f aca="false">G12*(1+H13+$E$5)</f>
        <v>134028.9288</v>
      </c>
      <c r="I12" s="26" t="n">
        <f aca="false">H12*(1+I13+$E$5)</f>
        <v>154133.26812</v>
      </c>
      <c r="J12" s="27" t="s">
        <v>49</v>
      </c>
    </row>
    <row r="13" customFormat="false" ht="15" hidden="false" customHeight="true" outlineLevel="0" collapsed="false">
      <c r="A13" s="11" t="s">
        <v>50</v>
      </c>
      <c r="C13" s="28" t="n">
        <f aca="false">C12/B12-1</f>
        <v>0.114647026125625</v>
      </c>
      <c r="D13" s="28" t="n">
        <f aca="false">D12/C12-1</f>
        <v>0.159814860989902</v>
      </c>
      <c r="E13" s="28" t="n">
        <f aca="false">E12/D12-1</f>
        <v>0.135280759980114</v>
      </c>
      <c r="F13" s="28" t="n">
        <f aca="false">F12/E12-1</f>
        <v>0.168810879265247</v>
      </c>
      <c r="G13" s="29" t="n">
        <v>0.17</v>
      </c>
      <c r="H13" s="29" t="n">
        <v>0.16</v>
      </c>
      <c r="I13" s="29" t="n">
        <v>0.15</v>
      </c>
      <c r="J13" s="27" t="s">
        <v>51</v>
      </c>
    </row>
    <row r="14" customFormat="false" ht="15" hidden="false" customHeight="true" outlineLevel="0" collapsed="false">
      <c r="A14" s="11" t="s">
        <v>52</v>
      </c>
      <c r="B14" s="25" t="n">
        <v>68486</v>
      </c>
      <c r="C14" s="25" t="n">
        <v>76638</v>
      </c>
      <c r="D14" s="25" t="n">
        <v>89113</v>
      </c>
      <c r="E14" s="25" t="n">
        <v>102078</v>
      </c>
      <c r="F14" s="25" t="n">
        <v>115666</v>
      </c>
      <c r="G14" s="26" t="n">
        <f aca="false">F14*(1+G15+$E$5)</f>
        <v>134172.56</v>
      </c>
      <c r="H14" s="26" t="n">
        <f aca="false">G14*(1+H15+$E$5)</f>
        <v>154969.3068</v>
      </c>
      <c r="I14" s="26" t="n">
        <f aca="false">H14*(1+I15+$E$5)</f>
        <v>178214.70282</v>
      </c>
      <c r="J14" s="27" t="s">
        <v>53</v>
      </c>
    </row>
    <row r="15" customFormat="false" ht="15" hidden="false" customHeight="true" outlineLevel="0" collapsed="false">
      <c r="A15" s="11" t="s">
        <v>54</v>
      </c>
      <c r="C15" s="28" t="n">
        <f aca="false">C14/B14-1</f>
        <v>0.119031626901849</v>
      </c>
      <c r="D15" s="28" t="n">
        <f aca="false">D14/C14-1</f>
        <v>0.162778256217542</v>
      </c>
      <c r="E15" s="28" t="n">
        <f aca="false">E14/D14-1</f>
        <v>0.145489434762605</v>
      </c>
      <c r="F15" s="28" t="n">
        <f aca="false">F14/E14-1</f>
        <v>0.133113893297282</v>
      </c>
      <c r="G15" s="29" t="n">
        <v>0.16</v>
      </c>
      <c r="H15" s="29" t="n">
        <v>0.155</v>
      </c>
      <c r="I15" s="29" t="n">
        <v>0.15</v>
      </c>
      <c r="J15" s="27"/>
    </row>
    <row r="16" customFormat="false" ht="15" hidden="false" customHeight="true" outlineLevel="0" collapsed="false">
      <c r="A16" s="11" t="s">
        <v>55</v>
      </c>
      <c r="B16" s="25" t="n">
        <v>17216</v>
      </c>
      <c r="C16" s="25" t="n">
        <v>18808</v>
      </c>
      <c r="D16" s="25" t="n">
        <v>22344</v>
      </c>
      <c r="E16" s="25" t="n">
        <v>23831</v>
      </c>
      <c r="F16" s="25" t="n">
        <v>29020</v>
      </c>
      <c r="G16" s="26" t="n">
        <f aca="false">G14*G17</f>
        <v>33543.14</v>
      </c>
      <c r="H16" s="26" t="n">
        <f aca="false">H14*H17</f>
        <v>38742.3267</v>
      </c>
      <c r="I16" s="26" t="n">
        <f aca="false">I14*I17</f>
        <v>44553.675705</v>
      </c>
      <c r="J16" s="27"/>
    </row>
    <row r="17" customFormat="false" ht="15" hidden="false" customHeight="true" outlineLevel="0" collapsed="false">
      <c r="A17" s="11" t="s">
        <v>56</v>
      </c>
      <c r="B17" s="28" t="n">
        <f aca="false">B16/B14</f>
        <v>0.251379844055719</v>
      </c>
      <c r="C17" s="28" t="n">
        <f aca="false">C16/C14</f>
        <v>0.245413502440043</v>
      </c>
      <c r="D17" s="28" t="n">
        <f aca="false">D16/D14</f>
        <v>0.250737827253038</v>
      </c>
      <c r="E17" s="28" t="n">
        <f aca="false">E16/E14</f>
        <v>0.233458727639648</v>
      </c>
      <c r="F17" s="28" t="n">
        <f aca="false">F16/F14</f>
        <v>0.250894817837567</v>
      </c>
      <c r="G17" s="15" t="n">
        <v>0.25</v>
      </c>
      <c r="H17" s="15" t="n">
        <v>0.25</v>
      </c>
      <c r="I17" s="15" t="n">
        <v>0.25</v>
      </c>
      <c r="J17" s="27"/>
    </row>
    <row r="18" customFormat="false" ht="15" hidden="false" customHeight="true" outlineLevel="0" collapsed="false">
      <c r="A18" s="11" t="s">
        <v>57</v>
      </c>
      <c r="B18" s="25" t="n">
        <v>1339</v>
      </c>
      <c r="C18" s="25" t="n">
        <v>1432</v>
      </c>
      <c r="D18" s="25" t="n">
        <v>2478</v>
      </c>
      <c r="E18" s="25" t="n">
        <v>1217</v>
      </c>
      <c r="F18" s="25" t="n">
        <v>2623</v>
      </c>
      <c r="G18" s="26" t="n">
        <f aca="false">G14*G19</f>
        <v>2951.79632</v>
      </c>
      <c r="H18" s="26" t="n">
        <f aca="false">H14*H19</f>
        <v>3409.3247496</v>
      </c>
      <c r="I18" s="26" t="n">
        <f aca="false">I14*I19</f>
        <v>3920.72346204</v>
      </c>
      <c r="J18" s="27"/>
    </row>
    <row r="19" customFormat="false" ht="15" hidden="false" customHeight="true" outlineLevel="0" collapsed="false">
      <c r="A19" s="11" t="s">
        <v>58</v>
      </c>
      <c r="B19" s="28" t="n">
        <f aca="false">B18/B14</f>
        <v>0.0195514411704582</v>
      </c>
      <c r="C19" s="28" t="n">
        <f aca="false">C18/C14</f>
        <v>0.0186852475273363</v>
      </c>
      <c r="D19" s="28" t="n">
        <f aca="false">D18/D14</f>
        <v>0.0278073906164084</v>
      </c>
      <c r="E19" s="28" t="n">
        <f aca="false">E18/E14</f>
        <v>0.0119222555300848</v>
      </c>
      <c r="F19" s="28" t="n">
        <f aca="false">F18/F14</f>
        <v>0.0226773641346636</v>
      </c>
      <c r="G19" s="15" t="n">
        <v>0.022</v>
      </c>
      <c r="H19" s="15" t="n">
        <v>0.022</v>
      </c>
      <c r="I19" s="15" t="n">
        <v>0.022</v>
      </c>
      <c r="J19" s="27"/>
    </row>
    <row r="20" customFormat="false" ht="15" hidden="false" customHeight="true" outlineLevel="0" collapsed="false">
      <c r="A20" s="11" t="s">
        <v>59</v>
      </c>
      <c r="B20" s="25" t="n">
        <v>2650</v>
      </c>
      <c r="C20" s="25" t="n">
        <v>3526</v>
      </c>
      <c r="D20" s="25" t="n">
        <v>3822</v>
      </c>
      <c r="E20" s="25" t="n">
        <v>4143</v>
      </c>
      <c r="F20" s="25" t="n">
        <v>4207</v>
      </c>
      <c r="G20" s="26" t="n">
        <f aca="false">G14*G21</f>
        <v>4830.21216</v>
      </c>
      <c r="H20" s="26" t="n">
        <f aca="false">H14*H21</f>
        <v>5578.8950448</v>
      </c>
      <c r="I20" s="26" t="n">
        <f aca="false">I14*I21</f>
        <v>6415.72930152</v>
      </c>
      <c r="J20" s="27"/>
    </row>
    <row r="21" customFormat="false" ht="15" hidden="false" customHeight="true" outlineLevel="0" collapsed="false">
      <c r="A21" s="11" t="s">
        <v>60</v>
      </c>
      <c r="B21" s="28" t="n">
        <f aca="false">B20/B14</f>
        <v>0.0386940396577403</v>
      </c>
      <c r="C21" s="28" t="n">
        <f aca="false">C20/C14</f>
        <v>0.0460085075289021</v>
      </c>
      <c r="D21" s="28" t="n">
        <f aca="false">D20/D14</f>
        <v>0.0428893651880197</v>
      </c>
      <c r="E21" s="28" t="n">
        <f aca="false">E20/E14</f>
        <v>0.0405866102392288</v>
      </c>
      <c r="F21" s="28" t="n">
        <f aca="false">F20/F14</f>
        <v>0.0363719675617727</v>
      </c>
      <c r="G21" s="15" t="n">
        <v>0.036</v>
      </c>
      <c r="H21" s="15" t="n">
        <v>0.036</v>
      </c>
      <c r="I21" s="15" t="n">
        <v>0.036</v>
      </c>
      <c r="J21" s="27"/>
    </row>
    <row r="22" customFormat="false" ht="15" hidden="false" customHeight="true" outlineLevel="0" collapsed="false">
      <c r="A22" s="11" t="s">
        <v>61</v>
      </c>
      <c r="B22" s="25" t="n">
        <v>7596</v>
      </c>
      <c r="C22" s="25" t="n">
        <v>8584</v>
      </c>
      <c r="D22" s="25" t="n">
        <v>10040</v>
      </c>
      <c r="E22" s="25" t="n">
        <v>11930</v>
      </c>
      <c r="F22" s="25" t="n">
        <v>14108</v>
      </c>
      <c r="G22" s="26" t="n">
        <f aca="false">F22+G45-G47</f>
        <v>16798.637950448</v>
      </c>
      <c r="H22" s="26" t="n">
        <f aca="false">G22+H45-H47</f>
        <v>19600.908559361</v>
      </c>
      <c r="I22" s="26" t="n">
        <f aca="false">H22+I45-I47</f>
        <v>22742.8678519067</v>
      </c>
      <c r="J22" s="27" t="s">
        <v>62</v>
      </c>
    </row>
    <row r="23" customFormat="false" ht="15" hidden="false" customHeight="true" outlineLevel="0" collapsed="false">
      <c r="A23" s="4" t="s">
        <v>63</v>
      </c>
      <c r="B23" s="30" t="n">
        <f aca="false">B14+B18+B20+B22</f>
        <v>80071</v>
      </c>
      <c r="C23" s="30" t="n">
        <f aca="false">C14+C18+C20+C22</f>
        <v>90180</v>
      </c>
      <c r="D23" s="30" t="n">
        <f aca="false">D14+D18+D20+D22</f>
        <v>105453</v>
      </c>
      <c r="E23" s="30" t="n">
        <f aca="false">E14+E18+E20+E22</f>
        <v>119368</v>
      </c>
      <c r="F23" s="30" t="n">
        <f aca="false">F14+F18+F20+F22</f>
        <v>136604</v>
      </c>
      <c r="G23" s="30" t="n">
        <f aca="false">G14+G18+G20+G22</f>
        <v>158753.206430448</v>
      </c>
      <c r="H23" s="30" t="n">
        <f aca="false">H14+H18+H20+H22</f>
        <v>183558.435153761</v>
      </c>
      <c r="I23" s="30" t="n">
        <f aca="false">I14+I18+I20+I22</f>
        <v>211294.023435467</v>
      </c>
      <c r="J23" s="27"/>
    </row>
    <row r="24" customFormat="false" ht="15" hidden="false" customHeight="true" outlineLevel="0" collapsed="false">
      <c r="A24" s="11" t="s">
        <v>64</v>
      </c>
      <c r="B24" s="25" t="n">
        <v>479</v>
      </c>
      <c r="C24" s="25" t="n">
        <v>435</v>
      </c>
      <c r="D24" s="25" t="n">
        <v>432</v>
      </c>
      <c r="E24" s="25" t="n">
        <v>490</v>
      </c>
      <c r="F24" s="25" t="n">
        <v>502</v>
      </c>
      <c r="G24" s="26" t="n">
        <f aca="false">F24*(1+$I$6)</f>
        <v>542.16</v>
      </c>
      <c r="H24" s="26" t="n">
        <f aca="false">G24*(1+$I$6)</f>
        <v>585.5328</v>
      </c>
      <c r="I24" s="26" t="n">
        <f aca="false">H24*(1+$I$6)</f>
        <v>632.375424</v>
      </c>
      <c r="J24" s="27"/>
    </row>
    <row r="25" customFormat="false" ht="15" hidden="false" customHeight="true" outlineLevel="0" collapsed="false">
      <c r="A25" s="11" t="s">
        <v>65</v>
      </c>
      <c r="B25" s="26" t="n">
        <f aca="false">B23-B12-B16-B24</f>
        <v>4808</v>
      </c>
      <c r="C25" s="26" t="n">
        <f aca="false">C23-C12-C16-C24</f>
        <v>6769</v>
      </c>
      <c r="D25" s="26" t="n">
        <f aca="false">D23-D12-D16-D24</f>
        <v>8254</v>
      </c>
      <c r="E25" s="26" t="n">
        <f aca="false">E23-E12-E16-E24</f>
        <v>10556</v>
      </c>
      <c r="F25" s="26" t="n">
        <f aca="false">F23-F12-F16-F24</f>
        <v>8328</v>
      </c>
      <c r="G25" s="26" t="n">
        <f aca="false">G23-G12-G16-G24</f>
        <v>9125.72643044799</v>
      </c>
      <c r="H25" s="26" t="n">
        <f aca="false">H23-H12-H16-H24</f>
        <v>10201.646853761</v>
      </c>
      <c r="I25" s="26" t="n">
        <f aca="false">I23-I12-I16-I24</f>
        <v>11974.7041864667</v>
      </c>
      <c r="J25" s="27" t="s">
        <v>66</v>
      </c>
    </row>
    <row r="26" customFormat="false" ht="15" hidden="false" customHeight="true" outlineLevel="0" collapsed="false">
      <c r="A26" s="4" t="s">
        <v>67</v>
      </c>
      <c r="B26" s="30" t="n">
        <f aca="false">B12+B16+B24+B25</f>
        <v>80071</v>
      </c>
      <c r="C26" s="30" t="n">
        <f aca="false">C12+C16+C24+C25</f>
        <v>90180</v>
      </c>
      <c r="D26" s="30" t="n">
        <f aca="false">D12+D16+D24+D25</f>
        <v>105453</v>
      </c>
      <c r="E26" s="30" t="n">
        <f aca="false">E12+E16+E24+E25</f>
        <v>119368</v>
      </c>
      <c r="F26" s="30" t="n">
        <f aca="false">F12+F16+F24+F25</f>
        <v>136604</v>
      </c>
      <c r="G26" s="30" t="n">
        <f aca="false">G12+G16+G24+G25</f>
        <v>158753.206430448</v>
      </c>
      <c r="H26" s="30" t="n">
        <f aca="false">H12+H16+H24+H25</f>
        <v>183558.435153761</v>
      </c>
      <c r="I26" s="30" t="n">
        <f aca="false">I12+I16+I24+I25</f>
        <v>211294.023435467</v>
      </c>
      <c r="J26" s="27"/>
    </row>
    <row r="27" customFormat="false" ht="15" hidden="false" customHeight="true" outlineLevel="0" collapsed="false">
      <c r="A27" s="11" t="s">
        <v>68</v>
      </c>
      <c r="B27" s="26" t="n">
        <f aca="false">B26-B23</f>
        <v>0</v>
      </c>
      <c r="C27" s="26" t="n">
        <f aca="false">C26-C23</f>
        <v>0</v>
      </c>
      <c r="D27" s="26" t="n">
        <f aca="false">D26-D23</f>
        <v>0</v>
      </c>
      <c r="E27" s="26" t="n">
        <f aca="false">E26-E23</f>
        <v>0</v>
      </c>
      <c r="F27" s="26" t="n">
        <f aca="false">F26-F23</f>
        <v>0</v>
      </c>
      <c r="G27" s="26" t="n">
        <f aca="false">G26-G23</f>
        <v>0</v>
      </c>
      <c r="H27" s="26" t="n">
        <f aca="false">H26-H23</f>
        <v>0</v>
      </c>
      <c r="I27" s="26" t="n">
        <f aca="false">I26-I23</f>
        <v>0</v>
      </c>
      <c r="J27" s="27"/>
    </row>
    <row r="28" customFormat="false" ht="15" hidden="false" customHeight="true" outlineLevel="0" collapsed="false">
      <c r="A28" s="23" t="s">
        <v>69</v>
      </c>
      <c r="B28" s="24"/>
      <c r="C28" s="24"/>
      <c r="D28" s="24"/>
      <c r="E28" s="24"/>
      <c r="F28" s="24"/>
      <c r="G28" s="24"/>
      <c r="H28" s="24"/>
      <c r="I28" s="24"/>
      <c r="J28" s="24"/>
    </row>
    <row r="29" customFormat="false" ht="15" hidden="false" customHeight="true" outlineLevel="0" collapsed="false">
      <c r="A29" s="11" t="s">
        <v>70</v>
      </c>
      <c r="B29" s="25" t="n">
        <v>5588</v>
      </c>
      <c r="C29" s="25" t="n">
        <v>6517</v>
      </c>
      <c r="D29" s="25" t="n">
        <v>8213</v>
      </c>
      <c r="E29" s="25" t="n">
        <v>9678</v>
      </c>
      <c r="F29" s="25" t="n">
        <v>11074</v>
      </c>
      <c r="G29" s="26" t="n">
        <f aca="false">G51*G49</f>
        <v>12984.702108</v>
      </c>
      <c r="H29" s="26" t="n">
        <f aca="false">H51*H49</f>
        <v>15014.609247075</v>
      </c>
      <c r="I29" s="26" t="n">
        <f aca="false">I51*I49</f>
        <v>17235.66044868</v>
      </c>
      <c r="J29" s="27" t="s">
        <v>71</v>
      </c>
    </row>
    <row r="30" customFormat="false" ht="15" hidden="false" customHeight="true" outlineLevel="0" collapsed="false">
      <c r="A30" s="11" t="s">
        <v>72</v>
      </c>
      <c r="B30" s="25" t="n">
        <v>2872</v>
      </c>
      <c r="C30" s="25" t="n">
        <v>3168</v>
      </c>
      <c r="D30" s="25" t="n">
        <v>4395</v>
      </c>
      <c r="E30" s="25" t="n">
        <v>5418</v>
      </c>
      <c r="F30" s="25" t="n">
        <v>6136</v>
      </c>
      <c r="G30" s="26" t="n">
        <f aca="false">G53*G52</f>
        <v>7215.42731604</v>
      </c>
      <c r="H30" s="26" t="n">
        <f aca="false">H53*H52</f>
        <v>8451.38545307056</v>
      </c>
      <c r="I30" s="26" t="n">
        <f aca="false">I53*I52</f>
        <v>9738.7020539849</v>
      </c>
      <c r="J30" s="27"/>
    </row>
    <row r="31" customFormat="false" ht="15" hidden="false" customHeight="true" outlineLevel="0" collapsed="false">
      <c r="A31" s="4" t="s">
        <v>73</v>
      </c>
      <c r="B31" s="30" t="n">
        <f aca="false">B29-B30</f>
        <v>2716</v>
      </c>
      <c r="C31" s="30" t="n">
        <f aca="false">C29-C30</f>
        <v>3349</v>
      </c>
      <c r="D31" s="30" t="n">
        <f aca="false">D29-D30</f>
        <v>3818</v>
      </c>
      <c r="E31" s="30" t="n">
        <f aca="false">E29-E30</f>
        <v>4260</v>
      </c>
      <c r="F31" s="30" t="n">
        <f aca="false">F29-F30</f>
        <v>4938</v>
      </c>
      <c r="G31" s="30" t="n">
        <f aca="false">G29-G30</f>
        <v>5769.27479196</v>
      </c>
      <c r="H31" s="30" t="n">
        <f aca="false">H29-H30</f>
        <v>6563.22379400444</v>
      </c>
      <c r="I31" s="30" t="n">
        <f aca="false">I29-I30</f>
        <v>7496.9583946951</v>
      </c>
      <c r="J31" s="27"/>
    </row>
    <row r="32" customFormat="false" ht="15" hidden="false" customHeight="true" outlineLevel="0" collapsed="false">
      <c r="A32" s="11" t="s">
        <v>74</v>
      </c>
      <c r="B32" s="25" t="n">
        <v>769</v>
      </c>
      <c r="C32" s="25" t="n">
        <v>1159</v>
      </c>
      <c r="D32" s="25" t="n">
        <v>1649</v>
      </c>
      <c r="E32" s="25" t="n">
        <v>1192</v>
      </c>
      <c r="F32" s="25" t="n">
        <v>1405</v>
      </c>
      <c r="G32" s="26" t="n">
        <f aca="false">F32*(1+G33)</f>
        <v>1615.75</v>
      </c>
      <c r="H32" s="26" t="n">
        <f aca="false">G32*(1+H33)</f>
        <v>1858.1125</v>
      </c>
      <c r="I32" s="26" t="n">
        <f aca="false">H32*(1+I33)</f>
        <v>2118.24825</v>
      </c>
      <c r="J32" s="27" t="s">
        <v>75</v>
      </c>
    </row>
    <row r="33" customFormat="false" ht="15" hidden="false" customHeight="true" outlineLevel="0" collapsed="false">
      <c r="A33" s="11" t="s">
        <v>76</v>
      </c>
      <c r="C33" s="28" t="n">
        <f aca="false">C32/B32-1</f>
        <v>0.507152145643693</v>
      </c>
      <c r="D33" s="28" t="n">
        <f aca="false">D32/C32-1</f>
        <v>0.422778257118205</v>
      </c>
      <c r="E33" s="28" t="n">
        <f aca="false">E32/D32-1</f>
        <v>-0.277137659187386</v>
      </c>
      <c r="F33" s="28" t="n">
        <f aca="false">F32/E32-1</f>
        <v>0.178691275167785</v>
      </c>
      <c r="G33" s="29" t="n">
        <v>0.15</v>
      </c>
      <c r="H33" s="29" t="n">
        <v>0.15</v>
      </c>
      <c r="I33" s="29" t="n">
        <v>0.14</v>
      </c>
      <c r="J33" s="27"/>
    </row>
    <row r="34" customFormat="false" ht="15" hidden="false" customHeight="true" outlineLevel="0" collapsed="false">
      <c r="A34" s="11" t="s">
        <v>77</v>
      </c>
      <c r="G34" s="31" t="n">
        <v>550</v>
      </c>
      <c r="H34" s="31" t="n">
        <v>400</v>
      </c>
      <c r="I34" s="31" t="n">
        <v>300</v>
      </c>
      <c r="J34" s="27" t="s">
        <v>78</v>
      </c>
    </row>
    <row r="35" customFormat="false" ht="15" hidden="false" customHeight="true" outlineLevel="0" collapsed="false">
      <c r="A35" s="11" t="s">
        <v>79</v>
      </c>
      <c r="E35" s="25" t="n">
        <v>638</v>
      </c>
      <c r="F35" s="25" t="n">
        <v>679</v>
      </c>
      <c r="G35" s="26" t="n">
        <f aca="false">G34*$E$8</f>
        <v>550</v>
      </c>
      <c r="H35" s="26" t="n">
        <f aca="false">H34*$E$8</f>
        <v>400</v>
      </c>
      <c r="I35" s="26" t="n">
        <f aca="false">I34*$E$8</f>
        <v>300</v>
      </c>
      <c r="J35" s="27"/>
    </row>
    <row r="36" customFormat="false" ht="15" hidden="false" customHeight="true" outlineLevel="0" collapsed="false">
      <c r="A36" s="11" t="s">
        <v>80</v>
      </c>
      <c r="B36" s="26" t="n">
        <f aca="false">B32+B35</f>
        <v>769</v>
      </c>
      <c r="C36" s="26" t="n">
        <f aca="false">C32+C35</f>
        <v>1159</v>
      </c>
      <c r="D36" s="26" t="n">
        <f aca="false">D32+D35</f>
        <v>1649</v>
      </c>
      <c r="E36" s="26" t="n">
        <f aca="false">E32+E35</f>
        <v>1830</v>
      </c>
      <c r="F36" s="26" t="n">
        <f aca="false">F32+F35</f>
        <v>2084</v>
      </c>
      <c r="G36" s="26" t="n">
        <f aca="false">G32+G35</f>
        <v>2165.75</v>
      </c>
      <c r="H36" s="26" t="n">
        <f aca="false">H32+H35</f>
        <v>2258.1125</v>
      </c>
      <c r="I36" s="26" t="n">
        <f aca="false">I32+I35</f>
        <v>2418.24825</v>
      </c>
      <c r="J36" s="27"/>
    </row>
    <row r="37" customFormat="false" ht="15" hidden="false" customHeight="true" outlineLevel="0" collapsed="false">
      <c r="A37" s="4" t="s">
        <v>81</v>
      </c>
      <c r="B37" s="30" t="n">
        <f aca="false">B31+B36</f>
        <v>3485</v>
      </c>
      <c r="C37" s="30" t="n">
        <f aca="false">C31+C36</f>
        <v>4508</v>
      </c>
      <c r="D37" s="30" t="n">
        <f aca="false">D31+D36</f>
        <v>5467</v>
      </c>
      <c r="E37" s="30" t="n">
        <f aca="false">E31+E36</f>
        <v>6090</v>
      </c>
      <c r="F37" s="30" t="n">
        <f aca="false">F31+F36</f>
        <v>7022</v>
      </c>
      <c r="G37" s="30" t="n">
        <f aca="false">G31+G36</f>
        <v>7935.02479196</v>
      </c>
      <c r="H37" s="30" t="n">
        <f aca="false">H31+H36</f>
        <v>8821.33629400444</v>
      </c>
      <c r="I37" s="30" t="n">
        <f aca="false">I31+I36</f>
        <v>9915.2066446951</v>
      </c>
      <c r="J37" s="27"/>
    </row>
    <row r="38" customFormat="false" ht="15" hidden="false" customHeight="true" outlineLevel="0" collapsed="false">
      <c r="A38" s="11" t="s">
        <v>82</v>
      </c>
      <c r="B38" s="25" t="n">
        <v>1855</v>
      </c>
      <c r="C38" s="25" t="n">
        <v>2032</v>
      </c>
      <c r="D38" s="25" t="n">
        <v>2638</v>
      </c>
      <c r="E38" s="25" t="n">
        <v>2877</v>
      </c>
      <c r="F38" s="25" t="n">
        <v>2947</v>
      </c>
      <c r="G38" s="26" t="n">
        <f aca="false">F38*(1+G39)</f>
        <v>3359.58</v>
      </c>
      <c r="H38" s="26" t="n">
        <f aca="false">G38*(1+H39)</f>
        <v>3796.3254</v>
      </c>
      <c r="I38" s="26" t="n">
        <f aca="false">H38*(1+I39)</f>
        <v>4251.884448</v>
      </c>
      <c r="J38" s="27" t="s">
        <v>83</v>
      </c>
    </row>
    <row r="39" customFormat="false" ht="15" hidden="false" customHeight="true" outlineLevel="0" collapsed="false">
      <c r="A39" s="11" t="s">
        <v>84</v>
      </c>
      <c r="C39" s="28" t="n">
        <f aca="false">C38/B38-1</f>
        <v>0.0954177897574124</v>
      </c>
      <c r="D39" s="28" t="n">
        <f aca="false">D38/C38-1</f>
        <v>0.298228346456693</v>
      </c>
      <c r="E39" s="28" t="n">
        <f aca="false">E38/D38-1</f>
        <v>0.0905989385898407</v>
      </c>
      <c r="F39" s="28" t="n">
        <f aca="false">F38/E38-1</f>
        <v>0.024330900243309</v>
      </c>
      <c r="G39" s="29" t="n">
        <v>0.14</v>
      </c>
      <c r="H39" s="29" t="n">
        <v>0.13</v>
      </c>
      <c r="I39" s="29" t="n">
        <v>0.12</v>
      </c>
      <c r="J39" s="27" t="s">
        <v>85</v>
      </c>
    </row>
    <row r="40" customFormat="false" ht="15" hidden="false" customHeight="true" outlineLevel="0" collapsed="false">
      <c r="A40" s="4" t="s">
        <v>86</v>
      </c>
      <c r="B40" s="30" t="n">
        <f aca="false">B37-B38</f>
        <v>1630</v>
      </c>
      <c r="C40" s="30" t="n">
        <f aca="false">C37-C38</f>
        <v>2476</v>
      </c>
      <c r="D40" s="30" t="n">
        <f aca="false">D37-D38</f>
        <v>2829</v>
      </c>
      <c r="E40" s="30" t="n">
        <f aca="false">E37-E38</f>
        <v>3213</v>
      </c>
      <c r="F40" s="30" t="n">
        <f aca="false">F37-F38</f>
        <v>4075</v>
      </c>
      <c r="G40" s="30" t="n">
        <f aca="false">G37-G38</f>
        <v>4575.44479196</v>
      </c>
      <c r="H40" s="30" t="n">
        <f aca="false">H37-H38</f>
        <v>5025.01089400444</v>
      </c>
      <c r="I40" s="30" t="n">
        <f aca="false">I37-I38</f>
        <v>5663.3221966951</v>
      </c>
      <c r="J40" s="27"/>
    </row>
    <row r="41" customFormat="false" ht="15" hidden="false" customHeight="true" outlineLevel="0" collapsed="false">
      <c r="A41" s="11" t="s">
        <v>87</v>
      </c>
      <c r="B41" s="25" t="n">
        <v>699</v>
      </c>
      <c r="C41" s="25" t="n">
        <v>1039</v>
      </c>
      <c r="D41" s="25" t="n">
        <v>729</v>
      </c>
      <c r="E41" s="25" t="n">
        <v>622</v>
      </c>
      <c r="F41" s="25" t="n">
        <v>755</v>
      </c>
      <c r="G41" s="26" t="n">
        <f aca="false">(G57+$E$7)*G56</f>
        <v>589.314495</v>
      </c>
      <c r="H41" s="26" t="n">
        <f aca="false">(H57+$E$7)*H56</f>
        <v>873.4988808</v>
      </c>
      <c r="I41" s="26" t="n">
        <f aca="false">(I57+$E$7)*I56</f>
        <v>1008.56768922</v>
      </c>
      <c r="J41" s="27" t="s">
        <v>88</v>
      </c>
    </row>
    <row r="42" customFormat="false" ht="15" hidden="false" customHeight="true" outlineLevel="0" collapsed="false">
      <c r="A42" s="11" t="s">
        <v>89</v>
      </c>
      <c r="B42" s="26" t="n">
        <f aca="false">B40-B41</f>
        <v>931</v>
      </c>
      <c r="C42" s="26" t="n">
        <f aca="false">C40-C41</f>
        <v>1437</v>
      </c>
      <c r="D42" s="26" t="n">
        <f aca="false">D40-D41</f>
        <v>2100</v>
      </c>
      <c r="E42" s="26" t="n">
        <f aca="false">E40-E41</f>
        <v>2591</v>
      </c>
      <c r="F42" s="26" t="n">
        <f aca="false">F40-F41</f>
        <v>3320</v>
      </c>
      <c r="G42" s="26" t="n">
        <f aca="false">G40-G41</f>
        <v>3986.13029696</v>
      </c>
      <c r="H42" s="26" t="n">
        <f aca="false">H40-H41</f>
        <v>4151.51201320444</v>
      </c>
      <c r="I42" s="26" t="n">
        <f aca="false">I40-I41</f>
        <v>4654.7545074751</v>
      </c>
      <c r="J42" s="27"/>
    </row>
    <row r="43" customFormat="false" ht="15" hidden="false" customHeight="true" outlineLevel="0" collapsed="false">
      <c r="A43" s="11" t="s">
        <v>90</v>
      </c>
      <c r="B43" s="25" t="n">
        <v>258</v>
      </c>
      <c r="C43" s="25" t="n">
        <v>331</v>
      </c>
      <c r="D43" s="25" t="n">
        <v>495</v>
      </c>
      <c r="E43" s="25" t="n">
        <v>649</v>
      </c>
      <c r="F43" s="25" t="n">
        <v>810</v>
      </c>
      <c r="G43" s="26" t="n">
        <f aca="false">G42*G44</f>
        <v>996.53257424</v>
      </c>
      <c r="H43" s="26" t="n">
        <f aca="false">H42*H44</f>
        <v>1037.87800330111</v>
      </c>
      <c r="I43" s="26" t="n">
        <f aca="false">I42*I44</f>
        <v>1163.68862686877</v>
      </c>
      <c r="J43" s="27"/>
    </row>
    <row r="44" customFormat="false" ht="15" hidden="false" customHeight="true" outlineLevel="0" collapsed="false">
      <c r="A44" s="11" t="s">
        <v>91</v>
      </c>
      <c r="B44" s="28" t="n">
        <f aca="false">B43/B42</f>
        <v>0.277121374865736</v>
      </c>
      <c r="C44" s="28" t="n">
        <f aca="false">C43/C42</f>
        <v>0.230340988169798</v>
      </c>
      <c r="D44" s="28" t="n">
        <f aca="false">D43/D42</f>
        <v>0.235714285714286</v>
      </c>
      <c r="E44" s="28" t="n">
        <f aca="false">E43/E42</f>
        <v>0.250482439212659</v>
      </c>
      <c r="F44" s="28" t="n">
        <f aca="false">F43/F42</f>
        <v>0.243975903614458</v>
      </c>
      <c r="G44" s="15" t="n">
        <v>0.25</v>
      </c>
      <c r="H44" s="15" t="n">
        <v>0.25</v>
      </c>
      <c r="I44" s="15" t="n">
        <v>0.25</v>
      </c>
      <c r="J44" s="27"/>
    </row>
    <row r="45" customFormat="false" ht="15" hidden="false" customHeight="true" outlineLevel="0" collapsed="false">
      <c r="A45" s="4" t="s">
        <v>92</v>
      </c>
      <c r="B45" s="30" t="n">
        <f aca="false">B42-B43</f>
        <v>673</v>
      </c>
      <c r="C45" s="30" t="n">
        <f aca="false">C42-C43</f>
        <v>1106</v>
      </c>
      <c r="D45" s="30" t="n">
        <f aca="false">D42-D43</f>
        <v>1605</v>
      </c>
      <c r="E45" s="30" t="n">
        <f aca="false">E42-E43</f>
        <v>1942</v>
      </c>
      <c r="F45" s="30" t="n">
        <f aca="false">F42-F43</f>
        <v>2510</v>
      </c>
      <c r="G45" s="30" t="n">
        <f aca="false">G42-G43</f>
        <v>2989.59772272</v>
      </c>
      <c r="H45" s="30" t="n">
        <f aca="false">H42-H43</f>
        <v>3113.63400990333</v>
      </c>
      <c r="I45" s="30" t="n">
        <f aca="false">I42-I43</f>
        <v>3491.06588060632</v>
      </c>
      <c r="J45" s="27" t="s">
        <v>93</v>
      </c>
    </row>
    <row r="46" customFormat="false" ht="15" hidden="false" customHeight="true" outlineLevel="0" collapsed="false">
      <c r="A46" s="11" t="s">
        <v>94</v>
      </c>
      <c r="B46" s="15" t="n">
        <v>0.19</v>
      </c>
      <c r="C46" s="15" t="n">
        <v>0.14</v>
      </c>
      <c r="D46" s="15" t="n">
        <v>0.12</v>
      </c>
      <c r="E46" s="15" t="n">
        <v>0.11</v>
      </c>
      <c r="F46" s="15" t="n">
        <v>0.1</v>
      </c>
      <c r="G46" s="15" t="n">
        <v>0.1</v>
      </c>
      <c r="H46" s="15" t="n">
        <v>0.1</v>
      </c>
      <c r="I46" s="15" t="n">
        <v>0.1</v>
      </c>
      <c r="J46" s="27"/>
    </row>
    <row r="47" customFormat="false" ht="15" hidden="false" customHeight="true" outlineLevel="0" collapsed="false">
      <c r="A47" s="11" t="s">
        <v>95</v>
      </c>
      <c r="B47" s="26" t="n">
        <f aca="false">B45*B46</f>
        <v>127.87</v>
      </c>
      <c r="C47" s="26" t="n">
        <f aca="false">C45*C46</f>
        <v>154.84</v>
      </c>
      <c r="D47" s="26" t="n">
        <f aca="false">D45*D46</f>
        <v>192.6</v>
      </c>
      <c r="E47" s="26" t="n">
        <f aca="false">E45*E46</f>
        <v>213.62</v>
      </c>
      <c r="F47" s="26" t="n">
        <f aca="false">F45*F46</f>
        <v>251</v>
      </c>
      <c r="G47" s="26" t="n">
        <f aca="false">G45*G46</f>
        <v>298.959772272</v>
      </c>
      <c r="H47" s="26" t="n">
        <f aca="false">H45*H46</f>
        <v>311.363400990333</v>
      </c>
      <c r="I47" s="26" t="n">
        <f aca="false">I45*I46</f>
        <v>349.106588060632</v>
      </c>
      <c r="J47" s="27"/>
    </row>
    <row r="48" customFormat="false" ht="15" hidden="false" customHeight="true" outlineLevel="0" collapsed="false">
      <c r="A48" s="23" t="s">
        <v>96</v>
      </c>
      <c r="B48" s="24"/>
      <c r="C48" s="24"/>
      <c r="D48" s="24"/>
      <c r="E48" s="24"/>
      <c r="F48" s="24"/>
      <c r="G48" s="24"/>
      <c r="H48" s="24"/>
      <c r="I48" s="24"/>
      <c r="J48" s="24"/>
    </row>
    <row r="49" customFormat="false" ht="15" hidden="false" customHeight="true" outlineLevel="0" collapsed="false">
      <c r="A49" s="11" t="s">
        <v>97</v>
      </c>
      <c r="C49" s="26" t="n">
        <f aca="false">(B12+C12+B16+C16)/2</f>
        <v>78880</v>
      </c>
      <c r="D49" s="26" t="n">
        <f aca="false">(C12+D12+C16+D16)/2</f>
        <v>89871.5</v>
      </c>
      <c r="E49" s="26" t="n">
        <f aca="false">(D12+E12+D16+E16)/2</f>
        <v>102544.5</v>
      </c>
      <c r="F49" s="26" t="n">
        <f aca="false">(E12+F12+E16+F16)/2</f>
        <v>118048</v>
      </c>
      <c r="G49" s="26" t="n">
        <f aca="false">(F12+G12+F16+G16)/2</f>
        <v>138429.66</v>
      </c>
      <c r="H49" s="26" t="n">
        <f aca="false">(G12+H12+G16+H16)/2</f>
        <v>160928.28775</v>
      </c>
      <c r="I49" s="26" t="n">
        <f aca="false">(H12+I12+H16+I16)/2</f>
        <v>185729.0996625</v>
      </c>
      <c r="J49" s="27"/>
    </row>
    <row r="50" customFormat="false" ht="15" hidden="false" customHeight="true" outlineLevel="0" collapsed="false">
      <c r="A50" s="11" t="s">
        <v>98</v>
      </c>
      <c r="G50" s="32" t="n">
        <v>0.0938</v>
      </c>
      <c r="H50" s="32" t="n">
        <v>0.0933</v>
      </c>
      <c r="I50" s="32" t="n">
        <v>0.0928</v>
      </c>
      <c r="J50" s="27" t="s">
        <v>99</v>
      </c>
    </row>
    <row r="51" customFormat="false" ht="15" hidden="false" customHeight="true" outlineLevel="0" collapsed="false">
      <c r="A51" s="11" t="s">
        <v>100</v>
      </c>
      <c r="C51" s="33" t="n">
        <f aca="false">C29/C49</f>
        <v>0.082619168356998</v>
      </c>
      <c r="D51" s="33" t="n">
        <f aca="false">D29/D49</f>
        <v>0.0913860345048208</v>
      </c>
      <c r="E51" s="33" t="n">
        <f aca="false">E29/E49</f>
        <v>0.094378538098094</v>
      </c>
      <c r="F51" s="33" t="n">
        <f aca="false">F29/F49</f>
        <v>0.0938092979127135</v>
      </c>
      <c r="G51" s="33" t="n">
        <f aca="false">G50+$E$6</f>
        <v>0.0938</v>
      </c>
      <c r="H51" s="33" t="n">
        <f aca="false">H50+$E$6</f>
        <v>0.0933</v>
      </c>
      <c r="I51" s="33" t="n">
        <f aca="false">I50+$E$6</f>
        <v>0.0928</v>
      </c>
      <c r="J51" s="27"/>
    </row>
    <row r="52" customFormat="false" ht="15" hidden="false" customHeight="true" outlineLevel="0" collapsed="false">
      <c r="A52" s="11" t="s">
        <v>101</v>
      </c>
      <c r="C52" s="26" t="n">
        <f aca="false">(B14+C14+B18+C18)/2</f>
        <v>73947.5</v>
      </c>
      <c r="D52" s="26" t="n">
        <f aca="false">(C14+D14+C18+D18)/2</f>
        <v>84830.5</v>
      </c>
      <c r="E52" s="26" t="n">
        <f aca="false">(D14+E14+D18+E18)/2</f>
        <v>97443</v>
      </c>
      <c r="F52" s="26" t="n">
        <f aca="false">(E14+F14+E18+F18)/2</f>
        <v>110792</v>
      </c>
      <c r="G52" s="26" t="n">
        <f aca="false">(F14+G14+F18+G18)/2</f>
        <v>127706.67816</v>
      </c>
      <c r="H52" s="26" t="n">
        <f aca="false">(G14+H14+G18+H18)/2</f>
        <v>147751.4939348</v>
      </c>
      <c r="I52" s="26" t="n">
        <f aca="false">(H14+I14+H18+I18)/2</f>
        <v>170257.02891582</v>
      </c>
      <c r="J52" s="27"/>
    </row>
    <row r="53" customFormat="false" ht="15" hidden="false" customHeight="true" outlineLevel="0" collapsed="false">
      <c r="A53" s="11" t="s">
        <v>102</v>
      </c>
      <c r="C53" s="33" t="n">
        <f aca="false">C30/C52</f>
        <v>0.0428412049088881</v>
      </c>
      <c r="D53" s="33" t="n">
        <f aca="false">D30/D52</f>
        <v>0.0518091959849347</v>
      </c>
      <c r="E53" s="33" t="n">
        <f aca="false">E30/E52</f>
        <v>0.0556017363997414</v>
      </c>
      <c r="F53" s="33" t="n">
        <f aca="false">F30/F52</f>
        <v>0.0553830601487472</v>
      </c>
      <c r="G53" s="32" t="n">
        <v>0.0565</v>
      </c>
      <c r="H53" s="32" t="n">
        <v>0.0572</v>
      </c>
      <c r="I53" s="32" t="n">
        <v>0.0572</v>
      </c>
      <c r="J53" s="27" t="s">
        <v>103</v>
      </c>
    </row>
    <row r="54" customFormat="false" ht="15" hidden="false" customHeight="true" outlineLevel="0" collapsed="false">
      <c r="A54" s="4" t="s">
        <v>104</v>
      </c>
      <c r="C54" s="19" t="n">
        <f aca="false">C31/C49</f>
        <v>0.0424568965517241</v>
      </c>
      <c r="D54" s="19" t="n">
        <f aca="false">D31/D49</f>
        <v>0.0424828783318405</v>
      </c>
      <c r="E54" s="19" t="n">
        <f aca="false">E31/E49</f>
        <v>0.0415429398943873</v>
      </c>
      <c r="F54" s="19" t="n">
        <f aca="false">F31/F49</f>
        <v>0.041830441854161</v>
      </c>
      <c r="G54" s="19" t="n">
        <f aca="false">G31/G49</f>
        <v>0.041676579946523</v>
      </c>
      <c r="H54" s="19" t="n">
        <f aca="false">H31/H49</f>
        <v>0.0407835308867532</v>
      </c>
      <c r="I54" s="19" t="n">
        <f aca="false">I31/I49</f>
        <v>0.0403650176968407</v>
      </c>
      <c r="J54" s="27" t="s">
        <v>105</v>
      </c>
    </row>
    <row r="55" customFormat="false" ht="15" hidden="false" customHeight="true" outlineLevel="0" collapsed="false">
      <c r="A55" s="11" t="s">
        <v>106</v>
      </c>
      <c r="B55" s="28" t="n">
        <f aca="false">B38/B37</f>
        <v>0.532281205164993</v>
      </c>
      <c r="C55" s="28" t="n">
        <f aca="false">C38/C37</f>
        <v>0.45075421472937</v>
      </c>
      <c r="D55" s="28" t="n">
        <f aca="false">D38/D37</f>
        <v>0.482531552954088</v>
      </c>
      <c r="E55" s="28" t="n">
        <f aca="false">E38/E37</f>
        <v>0.472413793103448</v>
      </c>
      <c r="F55" s="28" t="n">
        <f aca="false">F38/F37</f>
        <v>0.419681002563372</v>
      </c>
      <c r="G55" s="28" t="n">
        <f aca="false">G38/G37</f>
        <v>0.423386200809861</v>
      </c>
      <c r="H55" s="28" t="n">
        <f aca="false">H38/H37</f>
        <v>0.430357178716816</v>
      </c>
      <c r="I55" s="28" t="n">
        <f aca="false">I38/I37</f>
        <v>0.428824592402708</v>
      </c>
      <c r="J55" s="27" t="s">
        <v>107</v>
      </c>
    </row>
    <row r="56" customFormat="false" ht="15" hidden="false" customHeight="true" outlineLevel="0" collapsed="false">
      <c r="A56" s="11" t="s">
        <v>108</v>
      </c>
      <c r="C56" s="26" t="n">
        <f aca="false">(B12+C12)/2</f>
        <v>60868</v>
      </c>
      <c r="D56" s="26" t="n">
        <f aca="false">(C12+D12)/2</f>
        <v>69295.5</v>
      </c>
      <c r="E56" s="26" t="n">
        <f aca="false">(D12+E12)/2</f>
        <v>79457</v>
      </c>
      <c r="F56" s="26" t="n">
        <f aca="false">(E12+F12)/2</f>
        <v>91622.5</v>
      </c>
      <c r="G56" s="26" t="n">
        <f aca="false">(F12+G12)/2</f>
        <v>107148.09</v>
      </c>
      <c r="H56" s="26" t="n">
        <f aca="false">(G12+H12)/2</f>
        <v>124785.5544</v>
      </c>
      <c r="I56" s="26" t="n">
        <f aca="false">(H12+I12)/2</f>
        <v>144081.09846</v>
      </c>
      <c r="J56" s="27"/>
    </row>
    <row r="57" customFormat="false" ht="15" hidden="false" customHeight="true" outlineLevel="0" collapsed="false">
      <c r="A57" s="11" t="s">
        <v>109</v>
      </c>
      <c r="G57" s="32" t="n">
        <v>0.0055</v>
      </c>
      <c r="H57" s="32" t="n">
        <v>0.007</v>
      </c>
      <c r="I57" s="32" t="n">
        <v>0.007</v>
      </c>
      <c r="J57" s="27" t="s">
        <v>110</v>
      </c>
    </row>
    <row r="58" customFormat="false" ht="15" hidden="false" customHeight="true" outlineLevel="0" collapsed="false">
      <c r="A58" s="11" t="s">
        <v>111</v>
      </c>
      <c r="C58" s="33" t="n">
        <f aca="false">C41/C56</f>
        <v>0.0170697246500624</v>
      </c>
      <c r="D58" s="33" t="n">
        <f aca="false">D41/D56</f>
        <v>0.0105201636469901</v>
      </c>
      <c r="E58" s="33" t="n">
        <f aca="false">E41/E56</f>
        <v>0.00782813345583146</v>
      </c>
      <c r="F58" s="33" t="n">
        <f aca="false">F41/F56</f>
        <v>0.00824033397909902</v>
      </c>
      <c r="G58" s="33" t="n">
        <f aca="false">G41/G56</f>
        <v>0.0055</v>
      </c>
      <c r="H58" s="33" t="n">
        <f aca="false">H41/H56</f>
        <v>0.007</v>
      </c>
      <c r="I58" s="33" t="n">
        <f aca="false">I41/I56</f>
        <v>0.007</v>
      </c>
      <c r="J58" s="27"/>
    </row>
    <row r="59" customFormat="false" ht="15" hidden="false" customHeight="true" outlineLevel="0" collapsed="false">
      <c r="A59" s="11" t="s">
        <v>112</v>
      </c>
      <c r="C59" s="26" t="n">
        <f aca="false">(B26+C26)/2</f>
        <v>85125.5</v>
      </c>
      <c r="D59" s="26" t="n">
        <f aca="false">(C26+D26)/2</f>
        <v>97816.5</v>
      </c>
      <c r="E59" s="26" t="n">
        <f aca="false">(D26+E26)/2</f>
        <v>112410.5</v>
      </c>
      <c r="F59" s="26" t="n">
        <f aca="false">(E26+F26)/2</f>
        <v>127986</v>
      </c>
      <c r="G59" s="26" t="n">
        <f aca="false">(F26+G26)/2</f>
        <v>147678.603215224</v>
      </c>
      <c r="H59" s="26" t="n">
        <f aca="false">(G26+H26)/2</f>
        <v>171155.820792105</v>
      </c>
      <c r="I59" s="26" t="n">
        <f aca="false">(H26+I26)/2</f>
        <v>197426.229294614</v>
      </c>
      <c r="J59" s="27"/>
    </row>
    <row r="60" customFormat="false" ht="15" hidden="false" customHeight="true" outlineLevel="0" collapsed="false">
      <c r="A60" s="4" t="s">
        <v>113</v>
      </c>
      <c r="C60" s="19" t="n">
        <f aca="false">C45/C59</f>
        <v>0.0129925815413713</v>
      </c>
      <c r="D60" s="19" t="n">
        <f aca="false">D45/D59</f>
        <v>0.0164082746775851</v>
      </c>
      <c r="E60" s="19" t="n">
        <f aca="false">E45/E59</f>
        <v>0.0172759662131207</v>
      </c>
      <c r="F60" s="19" t="n">
        <f aca="false">F45/F59</f>
        <v>0.0196115200100011</v>
      </c>
      <c r="G60" s="19" t="n">
        <f aca="false">G45/G59</f>
        <v>0.0202439463648164</v>
      </c>
      <c r="H60" s="19" t="n">
        <f aca="false">H45/H59</f>
        <v>0.0181918090515036</v>
      </c>
      <c r="I60" s="19" t="n">
        <f aca="false">I45/I59</f>
        <v>0.0176828878973153</v>
      </c>
      <c r="J60" s="27" t="s">
        <v>114</v>
      </c>
    </row>
    <row r="61" customFormat="false" ht="15" hidden="false" customHeight="true" outlineLevel="0" collapsed="false">
      <c r="A61" s="11" t="s">
        <v>115</v>
      </c>
      <c r="C61" s="26" t="n">
        <f aca="false">(B22+C22)/2</f>
        <v>8090</v>
      </c>
      <c r="D61" s="26" t="n">
        <f aca="false">(C22+D22)/2</f>
        <v>9312</v>
      </c>
      <c r="E61" s="26" t="n">
        <f aca="false">(D22+E22)/2</f>
        <v>10985</v>
      </c>
      <c r="F61" s="26" t="n">
        <f aca="false">(E22+F22)/2</f>
        <v>13019</v>
      </c>
      <c r="G61" s="26" t="n">
        <f aca="false">(F22+G22)/2</f>
        <v>15453.318975224</v>
      </c>
      <c r="H61" s="26" t="n">
        <f aca="false">(G22+H22)/2</f>
        <v>18199.7732549045</v>
      </c>
      <c r="I61" s="26" t="n">
        <f aca="false">(H22+I22)/2</f>
        <v>21171.8882056338</v>
      </c>
      <c r="J61" s="27"/>
    </row>
    <row r="62" customFormat="false" ht="15" hidden="false" customHeight="true" outlineLevel="0" collapsed="false">
      <c r="A62" s="4" t="s">
        <v>116</v>
      </c>
      <c r="C62" s="16" t="n">
        <f aca="false">C45/C61</f>
        <v>0.136711990111248</v>
      </c>
      <c r="D62" s="16" t="n">
        <f aca="false">D45/D61</f>
        <v>0.17235824742268</v>
      </c>
      <c r="E62" s="16" t="n">
        <f aca="false">E45/E61</f>
        <v>0.176786527082385</v>
      </c>
      <c r="F62" s="16" t="n">
        <f aca="false">F45/F61</f>
        <v>0.192795145556494</v>
      </c>
      <c r="G62" s="16" t="n">
        <f aca="false">G45/G61</f>
        <v>0.193459911590071</v>
      </c>
      <c r="H62" s="16" t="n">
        <f aca="false">H45/H61</f>
        <v>0.171080923168329</v>
      </c>
      <c r="I62" s="16" t="n">
        <f aca="false">I45/I61</f>
        <v>0.164891569740924</v>
      </c>
      <c r="J62" s="27"/>
    </row>
    <row r="63" customFormat="false" ht="15" hidden="false" customHeight="true" outlineLevel="0" collapsed="false">
      <c r="A63" s="11" t="s">
        <v>117</v>
      </c>
      <c r="B63" s="28" t="n">
        <f aca="false">B12/B14</f>
        <v>0.84058055661011</v>
      </c>
      <c r="C63" s="28" t="n">
        <f aca="false">C12/C14</f>
        <v>0.837286985568517</v>
      </c>
      <c r="D63" s="28" t="n">
        <f aca="false">D12/D14</f>
        <v>0.835153120195707</v>
      </c>
      <c r="E63" s="28" t="n">
        <f aca="false">E12/E14</f>
        <v>0.82771018240953</v>
      </c>
      <c r="F63" s="28" t="n">
        <f aca="false">F12/F14</f>
        <v>0.85378590078329</v>
      </c>
      <c r="G63" s="28" t="n">
        <f aca="false">G12/G14</f>
        <v>0.861146124065904</v>
      </c>
      <c r="H63" s="28" t="n">
        <f aca="false">H12/H14</f>
        <v>0.864874029364891</v>
      </c>
      <c r="I63" s="28" t="n">
        <f aca="false">I12/I14</f>
        <v>0.864874029364891</v>
      </c>
      <c r="J63" s="27"/>
    </row>
    <row r="64" customFormat="false" ht="15" hidden="false" customHeight="true" outlineLevel="0" collapsed="false">
      <c r="A64" s="11" t="s">
        <v>118</v>
      </c>
      <c r="C64" s="15" t="n">
        <v>0.3321</v>
      </c>
      <c r="D64" s="15" t="n">
        <v>0.3039</v>
      </c>
      <c r="E64" s="15" t="n">
        <v>0.2727</v>
      </c>
      <c r="F64" s="15" t="n">
        <v>0.2691</v>
      </c>
      <c r="J64" s="27" t="s">
        <v>119</v>
      </c>
    </row>
    <row r="65" customFormat="false" ht="15" hidden="false" customHeight="true" outlineLevel="0" collapsed="false">
      <c r="A65" s="11" t="s">
        <v>120</v>
      </c>
      <c r="B65" s="18" t="n">
        <v>0.0596</v>
      </c>
      <c r="C65" s="18" t="n">
        <v>0.0227</v>
      </c>
      <c r="D65" s="18" t="n">
        <v>0.014</v>
      </c>
      <c r="E65" s="18" t="n">
        <v>0.0076</v>
      </c>
      <c r="F65" s="18" t="n">
        <v>0.0075</v>
      </c>
      <c r="G65" s="32" t="n">
        <v>0.0085</v>
      </c>
      <c r="H65" s="32" t="n">
        <v>0.01</v>
      </c>
      <c r="I65" s="32" t="n">
        <v>0.011</v>
      </c>
      <c r="J65" s="27" t="s">
        <v>121</v>
      </c>
    </row>
    <row r="66" customFormat="false" ht="15" hidden="false" customHeight="true" outlineLevel="0" collapsed="false">
      <c r="A66" s="11" t="s">
        <v>122</v>
      </c>
      <c r="B66" s="18" t="n">
        <v>0.0228</v>
      </c>
      <c r="C66" s="18" t="n">
        <v>0.0074</v>
      </c>
      <c r="D66" s="18" t="n">
        <v>0.004</v>
      </c>
      <c r="E66" s="18" t="n">
        <v>0.002</v>
      </c>
      <c r="F66" s="18" t="n">
        <v>0.0019</v>
      </c>
      <c r="G66" s="32" t="n">
        <v>0.0022</v>
      </c>
      <c r="H66" s="32" t="n">
        <v>0.0028</v>
      </c>
      <c r="I66" s="32" t="n">
        <v>0.0032</v>
      </c>
      <c r="J66" s="27"/>
    </row>
    <row r="67" customFormat="false" ht="15" hidden="false" customHeight="true" outlineLevel="0" collapsed="false">
      <c r="A67" s="11" t="s">
        <v>123</v>
      </c>
      <c r="B67" s="15" t="n">
        <v>0.8027</v>
      </c>
      <c r="C67" s="15" t="n">
        <v>0.9214</v>
      </c>
      <c r="D67" s="15" t="n">
        <v>0.9485</v>
      </c>
      <c r="E67" s="15" t="n">
        <v>0.9681</v>
      </c>
      <c r="F67" s="15" t="n">
        <v>0.9645</v>
      </c>
      <c r="J67" s="27"/>
    </row>
    <row r="68" customFormat="false" ht="15" hidden="false" customHeight="true" outlineLevel="0" collapsed="false">
      <c r="A68" s="11" t="s">
        <v>124</v>
      </c>
      <c r="B68" s="26" t="n">
        <f aca="false">B66*B12</f>
        <v>1312.5504</v>
      </c>
      <c r="C68" s="26" t="n">
        <f aca="false">C66*C12</f>
        <v>474.8432</v>
      </c>
      <c r="D68" s="26" t="n">
        <f aca="false">D66*D12</f>
        <v>297.692</v>
      </c>
      <c r="E68" s="26" t="n">
        <f aca="false">E66*E12</f>
        <v>168.982</v>
      </c>
      <c r="F68" s="26" t="n">
        <f aca="false">F66*F12</f>
        <v>187.6326</v>
      </c>
      <c r="G68" s="26" t="n">
        <f aca="false">G66*G12</f>
        <v>254.192796</v>
      </c>
      <c r="H68" s="26" t="n">
        <f aca="false">H66*H12</f>
        <v>375.28100064</v>
      </c>
      <c r="I68" s="26" t="n">
        <f aca="false">I66*I12</f>
        <v>493.226457984</v>
      </c>
      <c r="J68" s="27"/>
    </row>
    <row r="69" customFormat="false" ht="15" hidden="false" customHeight="true" outlineLevel="0" collapsed="false">
      <c r="A69" s="23" t="s">
        <v>125</v>
      </c>
      <c r="B69" s="24"/>
      <c r="C69" s="24"/>
      <c r="D69" s="24"/>
      <c r="E69" s="24"/>
      <c r="F69" s="24"/>
      <c r="G69" s="24"/>
      <c r="H69" s="24"/>
      <c r="I69" s="24"/>
      <c r="J69" s="24"/>
    </row>
    <row r="70" customFormat="false" ht="15" hidden="false" customHeight="true" outlineLevel="0" collapsed="false">
      <c r="A70" s="11" t="s">
        <v>126</v>
      </c>
      <c r="B70" s="34" t="n">
        <v>96.5</v>
      </c>
      <c r="C70" s="34" t="n">
        <v>96.5</v>
      </c>
      <c r="D70" s="34" t="n">
        <v>96.5</v>
      </c>
      <c r="E70" s="34" t="n">
        <v>96.5</v>
      </c>
      <c r="F70" s="34" t="n">
        <v>96.5</v>
      </c>
      <c r="G70" s="34" t="n">
        <v>96.5</v>
      </c>
      <c r="H70" s="34" t="n">
        <v>96.5</v>
      </c>
      <c r="I70" s="34" t="n">
        <v>96.5</v>
      </c>
      <c r="J70" s="27" t="s">
        <v>127</v>
      </c>
    </row>
    <row r="71" customFormat="false" ht="15" hidden="false" customHeight="true" outlineLevel="0" collapsed="false">
      <c r="A71" s="4" t="s">
        <v>128</v>
      </c>
      <c r="B71" s="20" t="n">
        <f aca="false">B45/B70</f>
        <v>6.97409326424871</v>
      </c>
      <c r="C71" s="20" t="n">
        <f aca="false">C45/C70</f>
        <v>11.4611398963731</v>
      </c>
      <c r="D71" s="20" t="n">
        <f aca="false">D45/D70</f>
        <v>16.6321243523316</v>
      </c>
      <c r="E71" s="20" t="n">
        <f aca="false">E45/E70</f>
        <v>20.1243523316062</v>
      </c>
      <c r="F71" s="20" t="n">
        <f aca="false">F45/F70</f>
        <v>26.0103626943005</v>
      </c>
      <c r="G71" s="20" t="n">
        <f aca="false">G45/G70</f>
        <v>30.9802872820725</v>
      </c>
      <c r="H71" s="20" t="n">
        <f aca="false">H45/H70</f>
        <v>32.2656374083246</v>
      </c>
      <c r="I71" s="20" t="n">
        <f aca="false">I45/I70</f>
        <v>36.1768485036925</v>
      </c>
      <c r="J71" s="27"/>
    </row>
    <row r="72" customFormat="false" ht="15" hidden="false" customHeight="true" outlineLevel="0" collapsed="false">
      <c r="A72" s="11" t="s">
        <v>129</v>
      </c>
      <c r="B72" s="35" t="n">
        <f aca="false">B22/B70</f>
        <v>78.7150259067358</v>
      </c>
      <c r="C72" s="35" t="n">
        <f aca="false">C22/C70</f>
        <v>88.9533678756477</v>
      </c>
      <c r="D72" s="35" t="n">
        <f aca="false">D22/D70</f>
        <v>104.041450777202</v>
      </c>
      <c r="E72" s="35" t="n">
        <f aca="false">E22/E70</f>
        <v>123.626943005181</v>
      </c>
      <c r="F72" s="35" t="n">
        <f aca="false">F22/F70</f>
        <v>146.19689119171</v>
      </c>
      <c r="G72" s="35" t="n">
        <f aca="false">G22/G70</f>
        <v>174.079149745575</v>
      </c>
      <c r="H72" s="35" t="n">
        <f aca="false">H22/H70</f>
        <v>203.118223413067</v>
      </c>
      <c r="I72" s="35" t="n">
        <f aca="false">I22/I70</f>
        <v>235.67738706639</v>
      </c>
      <c r="J72" s="27"/>
    </row>
    <row r="73" customFormat="false" ht="15" hidden="false" customHeight="true" outlineLevel="0" collapsed="false">
      <c r="A73" s="4" t="s">
        <v>130</v>
      </c>
      <c r="B73" s="20" t="n">
        <f aca="false">(B22-B68)/B70</f>
        <v>65.113467357513</v>
      </c>
      <c r="C73" s="20" t="n">
        <f aca="false">(C22-C68)/C70</f>
        <v>84.0327129533679</v>
      </c>
      <c r="D73" s="20" t="n">
        <f aca="false">(D22-D68)/D70</f>
        <v>100.956559585492</v>
      </c>
      <c r="E73" s="20" t="n">
        <f aca="false">(E22-E68)/E70</f>
        <v>121.875834196891</v>
      </c>
      <c r="F73" s="20" t="n">
        <f aca="false">(F22-F68)/F70</f>
        <v>144.252511917098</v>
      </c>
      <c r="G73" s="20" t="n">
        <f aca="false">(G22-G68)/G70</f>
        <v>171.445027507233</v>
      </c>
      <c r="H73" s="20" t="n">
        <f aca="false">(H22-H68)/H70</f>
        <v>199.229301126642</v>
      </c>
      <c r="I73" s="20" t="n">
        <f aca="false">(I22-I68)/I70</f>
        <v>230.566232061375</v>
      </c>
      <c r="J73" s="27"/>
    </row>
    <row r="74" customFormat="false" ht="15" hidden="false" customHeight="true" outlineLevel="0" collapsed="false">
      <c r="A74" s="11" t="s">
        <v>131</v>
      </c>
      <c r="B74" s="35" t="n">
        <f aca="false">B47/B70</f>
        <v>1.32507772020725</v>
      </c>
      <c r="C74" s="35" t="n">
        <f aca="false">C47/C70</f>
        <v>1.60455958549223</v>
      </c>
      <c r="D74" s="35" t="n">
        <f aca="false">D47/D70</f>
        <v>1.99585492227979</v>
      </c>
      <c r="E74" s="35" t="n">
        <f aca="false">E47/E70</f>
        <v>2.21367875647668</v>
      </c>
      <c r="F74" s="35" t="n">
        <f aca="false">F47/F70</f>
        <v>2.60103626943005</v>
      </c>
      <c r="G74" s="35" t="n">
        <f aca="false">G47/G70</f>
        <v>3.09802872820725</v>
      </c>
      <c r="H74" s="35" t="n">
        <f aca="false">H47/H70</f>
        <v>3.22656374083246</v>
      </c>
      <c r="I74" s="35" t="n">
        <f aca="false">I47/I70</f>
        <v>3.61768485036925</v>
      </c>
      <c r="J74" s="27"/>
    </row>
    <row r="75" customFormat="false" ht="15" hidden="false" customHeight="true" outlineLevel="0" collapsed="false">
      <c r="A75" s="23" t="s">
        <v>132</v>
      </c>
      <c r="B75" s="24"/>
      <c r="C75" s="24"/>
      <c r="D75" s="24"/>
      <c r="E75" s="24"/>
      <c r="F75" s="24"/>
      <c r="G75" s="24"/>
      <c r="H75" s="24"/>
      <c r="I75" s="24"/>
      <c r="J75" s="24"/>
    </row>
    <row r="76" customFormat="false" ht="15" hidden="false" customHeight="true" outlineLevel="0" collapsed="false">
      <c r="A76" s="11" t="s">
        <v>133</v>
      </c>
      <c r="F76" s="18" t="n">
        <v>0.1876</v>
      </c>
      <c r="J76" s="27" t="s">
        <v>134</v>
      </c>
    </row>
    <row r="77" customFormat="false" ht="15" hidden="false" customHeight="true" outlineLevel="0" collapsed="false">
      <c r="A77" s="11" t="s">
        <v>135</v>
      </c>
      <c r="F77" s="26" t="n">
        <f aca="false">IF(F76&gt;0,F22*$I$5/F76,"")</f>
        <v>77458.6353944563</v>
      </c>
      <c r="G77" s="26" t="n">
        <f aca="false">G78*G26</f>
        <v>90489.3276653554</v>
      </c>
      <c r="H77" s="26" t="n">
        <f aca="false">H78*H26</f>
        <v>106463.892389181</v>
      </c>
      <c r="I77" s="26" t="n">
        <f aca="false">I78*I26</f>
        <v>124663.473826925</v>
      </c>
      <c r="J77" s="27"/>
    </row>
    <row r="78" customFormat="false" ht="15" hidden="false" customHeight="true" outlineLevel="0" collapsed="false">
      <c r="A78" s="11" t="s">
        <v>136</v>
      </c>
      <c r="F78" s="28" t="n">
        <f aca="false">F77/F26</f>
        <v>0.567030507118798</v>
      </c>
      <c r="G78" s="29" t="n">
        <v>0.57</v>
      </c>
      <c r="H78" s="29" t="n">
        <v>0.58</v>
      </c>
      <c r="I78" s="29" t="n">
        <v>0.59</v>
      </c>
      <c r="J78" s="27" t="s">
        <v>137</v>
      </c>
    </row>
    <row r="79" customFormat="false" ht="15" hidden="false" customHeight="true" outlineLevel="0" collapsed="false">
      <c r="A79" s="4" t="s">
        <v>138</v>
      </c>
      <c r="F79" s="19" t="n">
        <f aca="false">F22*$I$5/F77</f>
        <v>0.1876</v>
      </c>
      <c r="G79" s="19" t="n">
        <f aca="false">G22*$I$5/G77</f>
        <v>0.191211466980386</v>
      </c>
      <c r="H79" s="19" t="n">
        <f aca="false">H22*$I$5/H77</f>
        <v>0.189631764939992</v>
      </c>
      <c r="I79" s="19" t="n">
        <f aca="false">I22*$I$5/I77</f>
        <v>0.187907116401921</v>
      </c>
      <c r="J79" s="27" t="s">
        <v>139</v>
      </c>
    </row>
    <row r="80" customFormat="false" ht="15" hidden="false" customHeight="true" outlineLevel="0" collapsed="false">
      <c r="A80" s="23" t="s">
        <v>140</v>
      </c>
      <c r="B80" s="24"/>
      <c r="C80" s="24"/>
      <c r="D80" s="24"/>
      <c r="E80" s="24"/>
      <c r="F80" s="24"/>
      <c r="G80" s="24"/>
      <c r="H80" s="24"/>
      <c r="I80" s="24"/>
      <c r="J80" s="24"/>
    </row>
    <row r="81" customFormat="false" ht="15" hidden="false" customHeight="true" outlineLevel="0" collapsed="false">
      <c r="A81" s="11" t="s">
        <v>141</v>
      </c>
      <c r="C81" s="33" t="n">
        <f aca="false">C31/C59</f>
        <v>0.0393419128228322</v>
      </c>
      <c r="D81" s="33" t="n">
        <f aca="false">D31/D59</f>
        <v>0.0390322696068659</v>
      </c>
      <c r="E81" s="33" t="n">
        <f aca="false">E31/E59</f>
        <v>0.0378968156889259</v>
      </c>
      <c r="F81" s="33" t="n">
        <f aca="false">F31/F59</f>
        <v>0.0385823449439783</v>
      </c>
      <c r="G81" s="33" t="n">
        <f aca="false">G31/G59</f>
        <v>0.0390664230724878</v>
      </c>
      <c r="H81" s="33" t="n">
        <f aca="false">H31/H59</f>
        <v>0.0383464831264868</v>
      </c>
      <c r="I81" s="33" t="n">
        <f aca="false">I31/I59</f>
        <v>0.0379734669576634</v>
      </c>
      <c r="J81" s="27"/>
    </row>
    <row r="82" customFormat="false" ht="15" hidden="false" customHeight="true" outlineLevel="0" collapsed="false">
      <c r="A82" s="11" t="s">
        <v>142</v>
      </c>
      <c r="C82" s="33" t="n">
        <f aca="false">C36/C59</f>
        <v>0.0136151916875672</v>
      </c>
      <c r="D82" s="33" t="n">
        <f aca="false">D36/D59</f>
        <v>0.0168580965379052</v>
      </c>
      <c r="E82" s="33" t="n">
        <f aca="false">E36/E59</f>
        <v>0.0162796180072146</v>
      </c>
      <c r="F82" s="33" t="n">
        <f aca="false">F36/F59</f>
        <v>0.0162830309565109</v>
      </c>
      <c r="G82" s="33" t="n">
        <f aca="false">G36/G59</f>
        <v>0.0146652930949223</v>
      </c>
      <c r="H82" s="33" t="n">
        <f aca="false">H36/H59</f>
        <v>0.0131933140780694</v>
      </c>
      <c r="I82" s="33" t="n">
        <f aca="false">I36/I59</f>
        <v>0.0122488701660371</v>
      </c>
      <c r="J82" s="27"/>
    </row>
    <row r="83" customFormat="false" ht="15" hidden="false" customHeight="true" outlineLevel="0" collapsed="false">
      <c r="A83" s="11" t="s">
        <v>143</v>
      </c>
      <c r="C83" s="33" t="n">
        <f aca="false">-C38/C59</f>
        <v>-0.0238706380579262</v>
      </c>
      <c r="D83" s="33" t="n">
        <f aca="false">-D38/D59</f>
        <v>-0.026968865171009</v>
      </c>
      <c r="E83" s="33" t="n">
        <f aca="false">-E38/E59</f>
        <v>-0.0255936945392112</v>
      </c>
      <c r="F83" s="33" t="n">
        <f aca="false">-F38/F59</f>
        <v>-0.0230259559639336</v>
      </c>
      <c r="G83" s="33" t="n">
        <f aca="false">-G38/G59</f>
        <v>-0.0227492671711136</v>
      </c>
      <c r="H83" s="33" t="n">
        <f aca="false">-H38/H59</f>
        <v>-0.0221805217165896</v>
      </c>
      <c r="I83" s="33" t="n">
        <f aca="false">-I38/I59</f>
        <v>-0.0215365732465823</v>
      </c>
      <c r="J83" s="27"/>
    </row>
    <row r="84" customFormat="false" ht="15" hidden="false" customHeight="true" outlineLevel="0" collapsed="false">
      <c r="A84" s="11" t="s">
        <v>144</v>
      </c>
      <c r="C84" s="33" t="n">
        <f aca="false">-C41/C59</f>
        <v>-0.0122055083376896</v>
      </c>
      <c r="D84" s="33" t="n">
        <f aca="false">-D41/D59</f>
        <v>-0.00745273036757602</v>
      </c>
      <c r="E84" s="33" t="n">
        <f aca="false">-E41/E59</f>
        <v>-0.00553329092922814</v>
      </c>
      <c r="F84" s="33" t="n">
        <f aca="false">-F41/F59</f>
        <v>-0.00589908271217164</v>
      </c>
      <c r="G84" s="33" t="n">
        <f aca="false">-G41/G59</f>
        <v>-0.00399052050987471</v>
      </c>
      <c r="H84" s="33" t="n">
        <f aca="false">-H41/H59</f>
        <v>-0.00510353008596185</v>
      </c>
      <c r="I84" s="33" t="n">
        <f aca="false">-I41/I59</f>
        <v>-0.00510858001403117</v>
      </c>
      <c r="J84" s="27"/>
    </row>
    <row r="85" customFormat="false" ht="15" hidden="false" customHeight="true" outlineLevel="0" collapsed="false">
      <c r="A85" s="11" t="s">
        <v>145</v>
      </c>
      <c r="C85" s="33" t="n">
        <f aca="false">-C43/C59</f>
        <v>-0.0038883765734122</v>
      </c>
      <c r="D85" s="33" t="n">
        <f aca="false">-D43/D59</f>
        <v>-0.005060495928601</v>
      </c>
      <c r="E85" s="33" t="n">
        <f aca="false">-E43/E59</f>
        <v>-0.00577348201458049</v>
      </c>
      <c r="F85" s="33" t="n">
        <f aca="false">-F43/F59</f>
        <v>-0.00632881721438282</v>
      </c>
      <c r="G85" s="33" t="n">
        <f aca="false">-G43/G59</f>
        <v>-0.00674798212160547</v>
      </c>
      <c r="H85" s="33" t="n">
        <f aca="false">-H43/H59</f>
        <v>-0.00606393635050118</v>
      </c>
      <c r="I85" s="33" t="n">
        <f aca="false">-I43/I59</f>
        <v>-0.00589429596577176</v>
      </c>
      <c r="J85" s="27"/>
    </row>
    <row r="86" customFormat="false" ht="15" hidden="false" customHeight="true" outlineLevel="0" collapsed="false">
      <c r="A86" s="4" t="s">
        <v>146</v>
      </c>
      <c r="C86" s="19" t="n">
        <f aca="false">SUM(C81:C85)</f>
        <v>0.0129925815413713</v>
      </c>
      <c r="D86" s="19" t="n">
        <f aca="false">SUM(D81:D85)</f>
        <v>0.0164082746775851</v>
      </c>
      <c r="E86" s="19" t="n">
        <f aca="false">SUM(E81:E85)</f>
        <v>0.0172759662131207</v>
      </c>
      <c r="F86" s="19" t="n">
        <f aca="false">SUM(F81:F85)</f>
        <v>0.0196115200100011</v>
      </c>
      <c r="G86" s="19" t="n">
        <f aca="false">SUM(G81:G85)</f>
        <v>0.0202439463648164</v>
      </c>
      <c r="H86" s="19" t="n">
        <f aca="false">SUM(H81:H85)</f>
        <v>0.0181918090515036</v>
      </c>
      <c r="I86" s="19" t="n">
        <f aca="false">SUM(I81:I85)</f>
        <v>0.0176828878973153</v>
      </c>
      <c r="J8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2"/>
    <col collapsed="false" customWidth="true" hidden="false" outlineLevel="0" max="3" min="3" style="1" width="44"/>
    <col collapsed="false" customWidth="true" hidden="false" outlineLevel="0" max="9" min="5" style="1" width="11"/>
  </cols>
  <sheetData>
    <row r="1" customFormat="false" ht="15.75" hidden="false" customHeight="true" outlineLevel="0" collapsed="false">
      <c r="A1" s="12" t="s">
        <v>147</v>
      </c>
    </row>
    <row r="2" customFormat="false" ht="15" hidden="false" customHeight="true" outlineLevel="0" collapsed="false">
      <c r="A2" s="3" t="s">
        <v>148</v>
      </c>
    </row>
    <row r="3" customFormat="false" ht="15" hidden="false" customHeight="true" outlineLevel="0" collapsed="false">
      <c r="F3" s="4" t="s">
        <v>149</v>
      </c>
    </row>
    <row r="4" customFormat="false" ht="15" hidden="false" customHeight="true" outlineLevel="0" collapsed="false">
      <c r="A4" s="11" t="s">
        <v>2</v>
      </c>
      <c r="B4" s="36" t="n">
        <v>325</v>
      </c>
      <c r="C4" s="27" t="s">
        <v>150</v>
      </c>
      <c r="G4" s="37" t="n">
        <v>0.075</v>
      </c>
      <c r="H4" s="37" t="n">
        <v>0.08</v>
      </c>
      <c r="I4" s="37" t="n">
        <v>0.085</v>
      </c>
      <c r="J4" s="37" t="n">
        <v>0.09</v>
      </c>
      <c r="K4" s="37" t="n">
        <v>0.095</v>
      </c>
    </row>
    <row r="5" customFormat="false" ht="15" hidden="false" customHeight="true" outlineLevel="0" collapsed="false">
      <c r="A5" s="11" t="s">
        <v>151</v>
      </c>
      <c r="B5" s="32" t="n">
        <v>0.071</v>
      </c>
      <c r="C5" s="27" t="s">
        <v>152</v>
      </c>
      <c r="F5" s="37" t="n">
        <v>0.126</v>
      </c>
      <c r="G5" s="26" t="n">
        <f aca="false">($B$12-G$4)/($F5-G$4)*$B$16</f>
        <v>337.917788987773</v>
      </c>
      <c r="H5" s="26" t="n">
        <f aca="false">($B$12-H$4)/($F5-H$4)*$B$16</f>
        <v>354.502639495472</v>
      </c>
      <c r="I5" s="26" t="n">
        <f aca="false">($B$12-I$4)/($F5-I$4)*$B$16</f>
        <v>375.132575492854</v>
      </c>
      <c r="J5" s="26" t="n">
        <f aca="false">($B$12-J$4)/($F5-J$4)*$B$16</f>
        <v>401.493049267287</v>
      </c>
      <c r="K5" s="26" t="n">
        <f aca="false">($B$12-K$4)/($F5-K$4)*$B$16</f>
        <v>436.356901678634</v>
      </c>
    </row>
    <row r="6" customFormat="false" ht="15" hidden="false" customHeight="true" outlineLevel="0" collapsed="false">
      <c r="A6" s="11" t="s">
        <v>153</v>
      </c>
      <c r="B6" s="36" t="n">
        <v>1</v>
      </c>
      <c r="C6" s="27" t="s">
        <v>154</v>
      </c>
      <c r="F6" s="37" t="n">
        <v>0.131</v>
      </c>
      <c r="G6" s="26" t="n">
        <f aca="false">($B$12-G$4)/($F6-G$4)*$B$16</f>
        <v>307.74655782815</v>
      </c>
      <c r="H6" s="26" t="n">
        <f aca="false">($B$12-H$4)/($F6-H$4)*$B$16</f>
        <v>319.747478760622</v>
      </c>
      <c r="I6" s="26" t="n">
        <f aca="false">($B$12-I$4)/($F6-I$4)*$B$16</f>
        <v>334.357295547979</v>
      </c>
      <c r="J6" s="26" t="n">
        <f aca="false">($B$12-J$4)/($F6-J$4)*$B$16</f>
        <v>352.530482283472</v>
      </c>
      <c r="K6" s="26" t="n">
        <f aca="false">($B$12-K$4)/($F6-K$4)*$B$16</f>
        <v>375.75177644549</v>
      </c>
    </row>
    <row r="7" customFormat="false" ht="15" hidden="false" customHeight="true" outlineLevel="0" collapsed="false">
      <c r="A7" s="11" t="s">
        <v>155</v>
      </c>
      <c r="B7" s="32" t="n">
        <v>0.065</v>
      </c>
      <c r="C7" s="27" t="s">
        <v>156</v>
      </c>
      <c r="F7" s="37" t="n">
        <v>0.136</v>
      </c>
      <c r="G7" s="26" t="n">
        <f aca="false">($B$12-G$4)/($F7-G$4)*$B$16</f>
        <v>282.521430137318</v>
      </c>
      <c r="H7" s="26" t="n">
        <f aca="false">($B$12-H$4)/($F7-H$4)*$B$16</f>
        <v>291.198596728423</v>
      </c>
      <c r="I7" s="26" t="n">
        <f aca="false">($B$12-I$4)/($F7-I$4)*$B$16</f>
        <v>301.577168533471</v>
      </c>
      <c r="J7" s="26" t="n">
        <f aca="false">($B$12-J$4)/($F7-J$4)*$B$16</f>
        <v>314.211951600486</v>
      </c>
      <c r="K7" s="26" t="n">
        <f aca="false">($B$12-K$4)/($F7-K$4)*$B$16</f>
        <v>329.928389074089</v>
      </c>
    </row>
    <row r="8" customFormat="false" ht="15" hidden="false" customHeight="true" outlineLevel="0" collapsed="false">
      <c r="A8" s="4" t="s">
        <v>157</v>
      </c>
      <c r="B8" s="19" t="n">
        <f aca="false">B5+B6*B7</f>
        <v>0.136</v>
      </c>
      <c r="F8" s="37" t="n">
        <v>0.141</v>
      </c>
      <c r="G8" s="26" t="n">
        <f aca="false">($B$12-G$4)/($F8-G$4)*$B$16</f>
        <v>261.118291490552</v>
      </c>
      <c r="H8" s="26" t="n">
        <f aca="false">($B$12-H$4)/($F8-H$4)*$B$16</f>
        <v>267.329859291668</v>
      </c>
      <c r="I8" s="26" t="n">
        <f aca="false">($B$12-I$4)/($F8-I$4)*$B$16</f>
        <v>274.650635628697</v>
      </c>
      <c r="J8" s="26" t="n">
        <f aca="false">($B$12-J$4)/($F8-J$4)*$B$16</f>
        <v>283.406858306321</v>
      </c>
      <c r="K8" s="26" t="n">
        <f aca="false">($B$12-K$4)/($F8-K$4)*$B$16</f>
        <v>294.066607652993</v>
      </c>
    </row>
    <row r="9" customFormat="false" ht="15" hidden="false" customHeight="true" outlineLevel="0" collapsed="false">
      <c r="A9" s="11" t="s">
        <v>158</v>
      </c>
      <c r="B9" s="32" t="n">
        <v>0.085</v>
      </c>
      <c r="C9" s="27" t="s">
        <v>159</v>
      </c>
      <c r="F9" s="37" t="n">
        <v>0.146</v>
      </c>
      <c r="G9" s="26" t="n">
        <f aca="false">($B$12-G$4)/($F9-G$4)*$B$16</f>
        <v>242.729679413752</v>
      </c>
      <c r="H9" s="26" t="n">
        <f aca="false">($B$12-H$4)/($F9-H$4)*$B$16</f>
        <v>247.077597224117</v>
      </c>
      <c r="I9" s="26" t="n">
        <f aca="false">($B$12-I$4)/($F9-I$4)*$B$16</f>
        <v>252.138288446017</v>
      </c>
      <c r="J9" s="26" t="n">
        <f aca="false">($B$12-J$4)/($F9-J$4)*$B$16</f>
        <v>258.10267452897</v>
      </c>
      <c r="K9" s="26" t="n">
        <f aca="false">($B$12-K$4)/($F9-K$4)*$B$16</f>
        <v>265.23654807917</v>
      </c>
    </row>
    <row r="11" customFormat="false" ht="15" hidden="false" customHeight="true" outlineLevel="0" collapsed="false">
      <c r="A11" s="4" t="s">
        <v>160</v>
      </c>
      <c r="F11" s="4" t="s">
        <v>161</v>
      </c>
    </row>
    <row r="12" customFormat="false" ht="15" hidden="false" customHeight="true" outlineLevel="0" collapsed="false">
      <c r="A12" s="11" t="s">
        <v>162</v>
      </c>
      <c r="B12" s="38" t="n">
        <f aca="false">AVERAGE(Model!H62,Model!I62)</f>
        <v>0.167986246454627</v>
      </c>
      <c r="F12" s="27" t="s">
        <v>163</v>
      </c>
    </row>
    <row r="13" customFormat="false" ht="15" hidden="false" customHeight="true" outlineLevel="0" collapsed="false">
      <c r="A13" s="11" t="s">
        <v>164</v>
      </c>
      <c r="B13" s="39" t="n">
        <f aca="false">(B12-B9)/(B8-B9)</f>
        <v>1.62718130303189</v>
      </c>
      <c r="G13" s="40" t="n">
        <v>-20</v>
      </c>
      <c r="H13" s="40" t="n">
        <v>-10</v>
      </c>
      <c r="I13" s="40" t="n">
        <v>0</v>
      </c>
      <c r="J13" s="40" t="n">
        <v>15</v>
      </c>
      <c r="K13" s="40" t="n">
        <v>30</v>
      </c>
    </row>
    <row r="14" customFormat="false" ht="15" hidden="false" customHeight="true" outlineLevel="0" collapsed="false">
      <c r="A14" s="11" t="s">
        <v>165</v>
      </c>
      <c r="B14" s="41" t="n">
        <f aca="false">Model!G73</f>
        <v>171.445027507233</v>
      </c>
      <c r="F14" s="40" t="n">
        <v>-30</v>
      </c>
      <c r="G14" s="26" t="n">
        <f aca="false">(($B$12+($F14/10000*Model!H49/Model!H61-G$13/10000*Model!H56/Model!H61)*(1-Model!H44))-$B$9)/($B$8-$B$9)*$B$16</f>
        <v>266.651736703271</v>
      </c>
      <c r="H14" s="26" t="n">
        <f aca="false">(($B$12+($F14/10000*Model!H49/Model!H61-H$13/10000*Model!H56/Model!H61)*(1-Model!H44))-$B$9)/($B$8-$B$9)*$B$16</f>
        <v>247.964205241549</v>
      </c>
      <c r="I14" s="26" t="n">
        <f aca="false">(($B$12+($F14/10000*Model!H49/Model!H61-I$13/10000*Model!H56/Model!H61)*(1-Model!H44))-$B$9)/($B$8-$B$9)*$B$16</f>
        <v>229.276673779826</v>
      </c>
      <c r="J14" s="26" t="n">
        <f aca="false">(($B$12+($F14/10000*Model!H49/Model!H61-J$13/10000*Model!H56/Model!H61)*(1-Model!H44))-$B$9)/($B$8-$B$9)*$B$16</f>
        <v>201.245376587241</v>
      </c>
      <c r="K14" s="26" t="n">
        <f aca="false">(($B$12+($F14/10000*Model!H49/Model!H61-K$13/10000*Model!H56/Model!H61)*(1-Model!H44))-$B$9)/($B$8-$B$9)*$B$16</f>
        <v>173.214079394657</v>
      </c>
    </row>
    <row r="15" customFormat="false" ht="15" hidden="false" customHeight="true" outlineLevel="0" collapsed="false">
      <c r="A15" s="11" t="s">
        <v>166</v>
      </c>
      <c r="B15" s="41" t="n">
        <f aca="false">Model!H73</f>
        <v>199.229301126642</v>
      </c>
      <c r="F15" s="40" t="n">
        <v>-20</v>
      </c>
      <c r="G15" s="26" t="n">
        <f aca="false">(($B$12+($F15/10000*Model!H49/Model!H61-G$13/10000*Model!H56/Model!H61)*(1-Model!H44))-$B$9)/($B$8-$B$9)*$B$16</f>
        <v>290.751901621153</v>
      </c>
      <c r="H15" s="26" t="n">
        <f aca="false">(($B$12+($F15/10000*Model!H49/Model!H61-H$13/10000*Model!H56/Model!H61)*(1-Model!H44))-$B$9)/($B$8-$B$9)*$B$16</f>
        <v>272.06437015943</v>
      </c>
      <c r="I15" s="26" t="n">
        <f aca="false">(($B$12+($F15/10000*Model!H49/Model!H61-I$13/10000*Model!H56/Model!H61)*(1-Model!H44))-$B$9)/($B$8-$B$9)*$B$16</f>
        <v>253.376838697708</v>
      </c>
      <c r="J15" s="26" t="n">
        <f aca="false">(($B$12+($F15/10000*Model!H49/Model!H61-J$13/10000*Model!H56/Model!H61)*(1-Model!H44))-$B$9)/($B$8-$B$9)*$B$16</f>
        <v>225.345541505123</v>
      </c>
      <c r="K15" s="26" t="n">
        <f aca="false">(($B$12+($F15/10000*Model!H49/Model!H61-K$13/10000*Model!H56/Model!H61)*(1-Model!H44))-$B$9)/($B$8-$B$9)*$B$16</f>
        <v>197.314244312539</v>
      </c>
    </row>
    <row r="16" customFormat="false" ht="15" hidden="false" customHeight="true" outlineLevel="0" collapsed="false">
      <c r="A16" s="11" t="s">
        <v>167</v>
      </c>
      <c r="B16" s="35" t="n">
        <f aca="false">AVERAGE(B14,B15)</f>
        <v>185.337164316938</v>
      </c>
      <c r="F16" s="40" t="n">
        <v>-10</v>
      </c>
      <c r="G16" s="26" t="n">
        <f aca="false">(($B$12+($F16/10000*Model!H49/Model!H61-G$13/10000*Model!H56/Model!H61)*(1-Model!H44))-$B$9)/($B$8-$B$9)*$B$16</f>
        <v>314.852066539035</v>
      </c>
      <c r="H16" s="26" t="n">
        <f aca="false">(($B$12+($F16/10000*Model!H49/Model!H61-H$13/10000*Model!H56/Model!H61)*(1-Model!H44))-$B$9)/($B$8-$B$9)*$B$16</f>
        <v>296.164535077312</v>
      </c>
      <c r="I16" s="26" t="n">
        <f aca="false">(($B$12+($F16/10000*Model!H49/Model!H61-I$13/10000*Model!H56/Model!H61)*(1-Model!H44))-$B$9)/($B$8-$B$9)*$B$16</f>
        <v>277.477003615589</v>
      </c>
      <c r="J16" s="26" t="n">
        <f aca="false">(($B$12+($F16/10000*Model!H49/Model!H61-J$13/10000*Model!H56/Model!H61)*(1-Model!H44))-$B$9)/($B$8-$B$9)*$B$16</f>
        <v>249.445706423005</v>
      </c>
      <c r="K16" s="26" t="n">
        <f aca="false">(($B$12+($F16/10000*Model!H49/Model!H61-K$13/10000*Model!H56/Model!H61)*(1-Model!H44))-$B$9)/($B$8-$B$9)*$B$16</f>
        <v>221.414409230421</v>
      </c>
    </row>
    <row r="17" customFormat="false" ht="15" hidden="false" customHeight="true" outlineLevel="0" collapsed="false">
      <c r="A17" s="11" t="s">
        <v>168</v>
      </c>
      <c r="B17" s="20" t="n">
        <f aca="false">B13*B16</f>
        <v>301.577168533471</v>
      </c>
      <c r="F17" s="40" t="n">
        <v>0</v>
      </c>
      <c r="G17" s="26" t="n">
        <f aca="false">(($B$12+($F17/10000*Model!H49/Model!H61-G$13/10000*Model!H56/Model!H61)*(1-Model!H44))-$B$9)/($B$8-$B$9)*$B$16</f>
        <v>338.952231456917</v>
      </c>
      <c r="H17" s="26" t="n">
        <f aca="false">(($B$12+($F17/10000*Model!H49/Model!H61-H$13/10000*Model!H56/Model!H61)*(1-Model!H44))-$B$9)/($B$8-$B$9)*$B$16</f>
        <v>320.264699995194</v>
      </c>
      <c r="I17" s="26" t="n">
        <f aca="false">(($B$12+($F17/10000*Model!H49/Model!H61-I$13/10000*Model!H56/Model!H61)*(1-Model!H44))-$B$9)/($B$8-$B$9)*$B$16</f>
        <v>301.577168533471</v>
      </c>
      <c r="J17" s="26" t="n">
        <f aca="false">(($B$12+($F17/10000*Model!H49/Model!H61-J$13/10000*Model!H56/Model!H61)*(1-Model!H44))-$B$9)/($B$8-$B$9)*$B$16</f>
        <v>273.545871340887</v>
      </c>
      <c r="K17" s="26" t="n">
        <f aca="false">(($B$12+($F17/10000*Model!H49/Model!H61-K$13/10000*Model!H56/Model!H61)*(1-Model!H44))-$B$9)/($B$8-$B$9)*$B$16</f>
        <v>245.514574148303</v>
      </c>
    </row>
    <row r="18" customFormat="false" ht="15" hidden="false" customHeight="true" outlineLevel="0" collapsed="false">
      <c r="F18" s="40" t="n">
        <v>10</v>
      </c>
      <c r="G18" s="26" t="n">
        <f aca="false">(($B$12+($F18/10000*Model!H49/Model!H61-G$13/10000*Model!H56/Model!H61)*(1-Model!H44))-$B$9)/($B$8-$B$9)*$B$16</f>
        <v>363.052396374799</v>
      </c>
      <c r="H18" s="26" t="n">
        <f aca="false">(($B$12+($F18/10000*Model!H49/Model!H61-H$13/10000*Model!H56/Model!H61)*(1-Model!H44))-$B$9)/($B$8-$B$9)*$B$16</f>
        <v>344.364864913076</v>
      </c>
      <c r="I18" s="26" t="n">
        <f aca="false">(($B$12+($F18/10000*Model!H49/Model!H61-I$13/10000*Model!H56/Model!H61)*(1-Model!H44))-$B$9)/($B$8-$B$9)*$B$16</f>
        <v>325.677333451353</v>
      </c>
      <c r="J18" s="26" t="n">
        <f aca="false">(($B$12+($F18/10000*Model!H49/Model!H61-J$13/10000*Model!H56/Model!H61)*(1-Model!H44))-$B$9)/($B$8-$B$9)*$B$16</f>
        <v>297.646036258769</v>
      </c>
      <c r="K18" s="26" t="n">
        <f aca="false">(($B$12+($F18/10000*Model!H49/Model!H61-K$13/10000*Model!H56/Model!H61)*(1-Model!H44))-$B$9)/($B$8-$B$9)*$B$16</f>
        <v>269.614739066184</v>
      </c>
    </row>
    <row r="19" customFormat="false" ht="15" hidden="false" customHeight="true" outlineLevel="0" collapsed="false">
      <c r="A19" s="4" t="s">
        <v>169</v>
      </c>
      <c r="F19" s="40" t="n">
        <v>20</v>
      </c>
      <c r="G19" s="26" t="n">
        <f aca="false">(($B$12+($F19/10000*Model!H49/Model!H61-G$13/10000*Model!H56/Model!H61)*(1-Model!H44))-$B$9)/($B$8-$B$9)*$B$16</f>
        <v>387.15256129268</v>
      </c>
      <c r="H19" s="26" t="n">
        <f aca="false">(($B$12+($F19/10000*Model!H49/Model!H61-H$13/10000*Model!H56/Model!H61)*(1-Model!H44))-$B$9)/($B$8-$B$9)*$B$16</f>
        <v>368.465029830958</v>
      </c>
      <c r="I19" s="26" t="n">
        <f aca="false">(($B$12+($F19/10000*Model!H49/Model!H61-I$13/10000*Model!H56/Model!H61)*(1-Model!H44))-$B$9)/($B$8-$B$9)*$B$16</f>
        <v>349.777498369235</v>
      </c>
      <c r="J19" s="26" t="n">
        <f aca="false">(($B$12+($F19/10000*Model!H49/Model!H61-J$13/10000*Model!H56/Model!H61)*(1-Model!H44))-$B$9)/($B$8-$B$9)*$B$16</f>
        <v>321.74620117665</v>
      </c>
      <c r="K19" s="26" t="n">
        <f aca="false">(($B$12+($F19/10000*Model!H49/Model!H61-K$13/10000*Model!H56/Model!H61)*(1-Model!H44))-$B$9)/($B$8-$B$9)*$B$16</f>
        <v>293.714903984066</v>
      </c>
    </row>
    <row r="20" customFormat="false" ht="15" hidden="false" customHeight="true" outlineLevel="0" collapsed="false">
      <c r="A20" s="21"/>
      <c r="B20" s="21" t="s">
        <v>43</v>
      </c>
      <c r="C20" s="21" t="s">
        <v>44</v>
      </c>
      <c r="D20" s="21" t="s">
        <v>45</v>
      </c>
    </row>
    <row r="21" customFormat="false" ht="15" hidden="false" customHeight="true" outlineLevel="0" collapsed="false">
      <c r="A21" s="11" t="s">
        <v>170</v>
      </c>
      <c r="B21" s="41" t="n">
        <f aca="false">Model!F72</f>
        <v>146.19689119171</v>
      </c>
      <c r="C21" s="41" t="n">
        <f aca="false">Model!G72</f>
        <v>174.079149745575</v>
      </c>
      <c r="D21" s="41" t="n">
        <f aca="false">Model!H72</f>
        <v>203.118223413067</v>
      </c>
      <c r="F21" s="4" t="s">
        <v>171</v>
      </c>
    </row>
    <row r="22" customFormat="false" ht="15" hidden="false" customHeight="true" outlineLevel="0" collapsed="false">
      <c r="A22" s="11" t="s">
        <v>172</v>
      </c>
      <c r="B22" s="38" t="n">
        <f aca="false">Model!G62</f>
        <v>0.193459911590071</v>
      </c>
      <c r="C22" s="38" t="n">
        <f aca="false">Model!H62</f>
        <v>0.171080923168329</v>
      </c>
      <c r="D22" s="38" t="n">
        <f aca="false">Model!I62</f>
        <v>0.164891569740924</v>
      </c>
      <c r="F22" s="21" t="s">
        <v>173</v>
      </c>
      <c r="G22" s="21" t="s">
        <v>174</v>
      </c>
      <c r="H22" s="21" t="s">
        <v>9</v>
      </c>
      <c r="I22" s="21" t="s">
        <v>175</v>
      </c>
      <c r="J22" s="21" t="s">
        <v>176</v>
      </c>
      <c r="K22" s="21" t="s">
        <v>177</v>
      </c>
    </row>
    <row r="23" customFormat="false" ht="15" hidden="false" customHeight="true" outlineLevel="0" collapsed="false">
      <c r="A23" s="11" t="s">
        <v>178</v>
      </c>
      <c r="B23" s="35" t="n">
        <f aca="false">(B22-$B$8)*B21</f>
        <v>8.40046044261885</v>
      </c>
      <c r="C23" s="35" t="n">
        <f aca="false">(C22-$B$8)*C21</f>
        <v>6.10685727743257</v>
      </c>
      <c r="D23" s="35" t="n">
        <f aca="false">(D22-$B$8)*D21</f>
        <v>5.86840431739124</v>
      </c>
      <c r="F23" s="42" t="s">
        <v>27</v>
      </c>
      <c r="G23" s="43" t="n">
        <v>0.25</v>
      </c>
      <c r="H23" s="44" t="n">
        <v>0.135075367055182</v>
      </c>
      <c r="I23" s="45" t="n">
        <v>24.1961770302019</v>
      </c>
      <c r="J23" s="46" t="n">
        <v>158.579318489765</v>
      </c>
      <c r="K23" s="47" t="n">
        <v>-0.512063635416108</v>
      </c>
    </row>
    <row r="24" customFormat="false" ht="15" hidden="false" customHeight="true" outlineLevel="0" collapsed="false">
      <c r="A24" s="11" t="s">
        <v>179</v>
      </c>
      <c r="B24" s="48" t="n">
        <f aca="false">1/(1+$B$8)^1</f>
        <v>0.880281690140845</v>
      </c>
      <c r="C24" s="48" t="n">
        <f aca="false">1/(1+$B$8)^2</f>
        <v>0.774895853997223</v>
      </c>
      <c r="D24" s="48" t="n">
        <f aca="false">1/(1+$B$8)^3</f>
        <v>0.682126632039809</v>
      </c>
      <c r="F24" s="42" t="s">
        <v>28</v>
      </c>
      <c r="G24" s="43" t="n">
        <v>0.5</v>
      </c>
      <c r="H24" s="44" t="n">
        <v>0.171080923168329</v>
      </c>
      <c r="I24" s="45" t="n">
        <v>32.2656374083246</v>
      </c>
      <c r="J24" s="46" t="n">
        <v>300.071347218836</v>
      </c>
      <c r="K24" s="47" t="n">
        <v>-0.0767035470189662</v>
      </c>
    </row>
    <row r="25" customFormat="false" ht="15" hidden="false" customHeight="true" outlineLevel="0" collapsed="false">
      <c r="A25" s="11" t="s">
        <v>180</v>
      </c>
      <c r="B25" s="35" t="n">
        <f aca="false">B23*B24</f>
        <v>7.39477151638983</v>
      </c>
      <c r="C25" s="35" t="n">
        <f aca="false">C23*C24</f>
        <v>4.73217838523527</v>
      </c>
      <c r="D25" s="35" t="n">
        <f aca="false">D23*D24</f>
        <v>4.00299487246996</v>
      </c>
      <c r="F25" s="42" t="s">
        <v>29</v>
      </c>
      <c r="G25" s="43" t="n">
        <v>0.25</v>
      </c>
      <c r="H25" s="44" t="n">
        <v>0.187993919065895</v>
      </c>
      <c r="I25" s="45" t="n">
        <v>36.3325163200935</v>
      </c>
      <c r="J25" s="46" t="n">
        <v>371.944412369689</v>
      </c>
      <c r="K25" s="47" t="n">
        <v>0.14444434575289</v>
      </c>
    </row>
    <row r="26" customFormat="false" ht="15" hidden="false" customHeight="true" outlineLevel="0" collapsed="false">
      <c r="A26" s="11" t="s">
        <v>181</v>
      </c>
      <c r="B26" s="33" t="n">
        <f aca="false">B9</f>
        <v>0.085</v>
      </c>
      <c r="F26" s="49" t="s">
        <v>182</v>
      </c>
      <c r="J26" s="50" t="n">
        <f aca="false">SUMPRODUCT(G23:G25,J23:J25)</f>
        <v>282.666606324282</v>
      </c>
      <c r="K26" s="51" t="n">
        <f aca="false">J26/B4-1</f>
        <v>-0.130256595925288</v>
      </c>
    </row>
    <row r="27" customFormat="false" ht="15" hidden="false" customHeight="true" outlineLevel="0" collapsed="false">
      <c r="A27" s="11" t="s">
        <v>183</v>
      </c>
      <c r="B27" s="35" t="n">
        <f aca="false">D23*(1+B26)/(B8-B26)</f>
        <v>124.847425183716</v>
      </c>
      <c r="F27" s="52" t="s">
        <v>184</v>
      </c>
    </row>
    <row r="28" customFormat="false" ht="15" hidden="false" customHeight="true" outlineLevel="0" collapsed="false">
      <c r="A28" s="11" t="s">
        <v>185</v>
      </c>
      <c r="B28" s="35" t="n">
        <f aca="false">B27*D24</f>
        <v>85.1617536594099</v>
      </c>
    </row>
    <row r="29" customFormat="false" ht="15" hidden="false" customHeight="true" outlineLevel="0" collapsed="false">
      <c r="A29" s="11" t="s">
        <v>186</v>
      </c>
      <c r="B29" s="35" t="n">
        <f aca="false">B21+SUM(B25:D25)+B28</f>
        <v>247.488589625215</v>
      </c>
    </row>
    <row r="30" customFormat="false" ht="15" hidden="false" customHeight="true" outlineLevel="0" collapsed="false">
      <c r="A30" s="11" t="s">
        <v>187</v>
      </c>
      <c r="B30" s="35" t="n">
        <f aca="false">B29*(1+B8)^0.5</f>
        <v>263.781507816515</v>
      </c>
    </row>
    <row r="31" customFormat="false" ht="15" hidden="false" customHeight="true" outlineLevel="0" collapsed="false">
      <c r="A31" s="11" t="s">
        <v>188</v>
      </c>
      <c r="B31" s="20" t="n">
        <f aca="false">B30*(1+B8)-Model!G74</f>
        <v>296.557764151354</v>
      </c>
    </row>
    <row r="33" customFormat="false" ht="15" hidden="false" customHeight="true" outlineLevel="0" collapsed="false">
      <c r="A33" s="4" t="s">
        <v>189</v>
      </c>
    </row>
    <row r="34" customFormat="false" ht="15" hidden="false" customHeight="true" outlineLevel="0" collapsed="false">
      <c r="A34" s="11" t="s">
        <v>190</v>
      </c>
      <c r="B34" s="29" t="n">
        <v>0.7</v>
      </c>
    </row>
    <row r="35" customFormat="false" ht="15" hidden="false" customHeight="true" outlineLevel="0" collapsed="false">
      <c r="A35" s="11" t="s">
        <v>191</v>
      </c>
      <c r="B35" s="28" t="n">
        <f aca="false">1-B34</f>
        <v>0.3</v>
      </c>
    </row>
    <row r="36" customFormat="false" ht="15" hidden="false" customHeight="true" outlineLevel="0" collapsed="false">
      <c r="A36" s="11" t="s">
        <v>192</v>
      </c>
      <c r="B36" s="30" t="n">
        <f aca="false">B34*B17+B35*B31</f>
        <v>300.071347218836</v>
      </c>
    </row>
    <row r="37" customFormat="false" ht="15" hidden="false" customHeight="true" outlineLevel="0" collapsed="false">
      <c r="A37" s="11" t="s">
        <v>193</v>
      </c>
      <c r="B37" s="16" t="n">
        <f aca="false">B36/B4-1</f>
        <v>-0.0767035470189662</v>
      </c>
    </row>
    <row r="38" customFormat="false" ht="15" hidden="false" customHeight="true" outlineLevel="0" collapsed="false">
      <c r="A38" s="11" t="s">
        <v>194</v>
      </c>
      <c r="B38" s="4" t="str">
        <f aca="false">IF(B37&gt;0.15,"BUY",IF(B37&gt;-0.1,"HOLD","SELL"))</f>
        <v>HOLD</v>
      </c>
    </row>
    <row r="40" customFormat="false" ht="15" hidden="false" customHeight="true" outlineLevel="0" collapsed="false">
      <c r="A40" s="4" t="s">
        <v>195</v>
      </c>
    </row>
    <row r="41" customFormat="false" ht="15" hidden="false" customHeight="true" outlineLevel="0" collapsed="false">
      <c r="A41" s="11" t="s">
        <v>196</v>
      </c>
      <c r="B41" s="39" t="n">
        <f aca="false">B4/Model!F72</f>
        <v>2.22302948681599</v>
      </c>
    </row>
    <row r="42" customFormat="false" ht="15" hidden="false" customHeight="true" outlineLevel="0" collapsed="false">
      <c r="A42" s="11" t="s">
        <v>197</v>
      </c>
      <c r="B42" s="39" t="n">
        <f aca="false">B4/B16</f>
        <v>1.75356087484014</v>
      </c>
    </row>
    <row r="43" customFormat="false" ht="15" hidden="false" customHeight="true" outlineLevel="0" collapsed="false">
      <c r="A43" s="11" t="s">
        <v>198</v>
      </c>
      <c r="B43" s="39" t="n">
        <f aca="false">B4/Model!G71</f>
        <v>10.4905418416849</v>
      </c>
    </row>
    <row r="44" customFormat="false" ht="15" hidden="false" customHeight="true" outlineLevel="0" collapsed="false">
      <c r="A44" s="11" t="s">
        <v>199</v>
      </c>
      <c r="B44" s="39" t="n">
        <f aca="false">B4/Model!H71</f>
        <v>10.0726353515691</v>
      </c>
    </row>
    <row r="45" customFormat="false" ht="15" hidden="false" customHeight="true" outlineLevel="0" collapsed="false">
      <c r="A45" s="11" t="s">
        <v>200</v>
      </c>
      <c r="B45" s="39" t="n">
        <f aca="false">B36/B16</f>
        <v>1.61905653582622</v>
      </c>
    </row>
    <row r="46" customFormat="false" ht="15" hidden="false" customHeight="true" outlineLevel="0" collapsed="false">
      <c r="A46" s="11" t="s">
        <v>201</v>
      </c>
      <c r="B46" s="39" t="n">
        <f aca="false">B36/Model!H71</f>
        <v>9.30002849227509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</cols>
  <sheetData>
    <row r="1" customFormat="false" ht="15.75" hidden="false" customHeight="true" outlineLevel="0" collapsed="false">
      <c r="A1" s="12" t="s">
        <v>202</v>
      </c>
    </row>
    <row r="3" customFormat="false" ht="15" hidden="false" customHeight="true" outlineLevel="0" collapsed="false">
      <c r="A3" s="21" t="s">
        <v>203</v>
      </c>
      <c r="B3" s="22" t="s">
        <v>204</v>
      </c>
      <c r="C3" s="22" t="s">
        <v>205</v>
      </c>
      <c r="D3" s="22" t="s">
        <v>206</v>
      </c>
      <c r="E3" s="22" t="s">
        <v>207</v>
      </c>
      <c r="F3" s="22" t="s">
        <v>208</v>
      </c>
      <c r="G3" s="22" t="s">
        <v>209</v>
      </c>
      <c r="H3" s="22" t="s">
        <v>210</v>
      </c>
      <c r="I3" s="22" t="s">
        <v>211</v>
      </c>
      <c r="J3" s="22" t="s">
        <v>212</v>
      </c>
      <c r="K3" s="22" t="s">
        <v>213</v>
      </c>
      <c r="L3" s="22" t="s">
        <v>214</v>
      </c>
      <c r="M3" s="22" t="s">
        <v>215</v>
      </c>
      <c r="N3" s="22" t="s">
        <v>216</v>
      </c>
    </row>
    <row r="4" customFormat="false" ht="15" hidden="false" customHeight="true" outlineLevel="0" collapsed="false">
      <c r="A4" s="11" t="s">
        <v>70</v>
      </c>
      <c r="B4" s="25" t="n">
        <v>1883</v>
      </c>
      <c r="C4" s="25" t="n">
        <v>1997</v>
      </c>
      <c r="D4" s="25" t="n">
        <v>2139</v>
      </c>
      <c r="E4" s="25" t="n">
        <v>2187</v>
      </c>
      <c r="F4" s="25" t="n">
        <v>2285</v>
      </c>
      <c r="G4" s="25" t="n">
        <v>2387</v>
      </c>
      <c r="H4" s="25" t="n">
        <v>2489</v>
      </c>
      <c r="I4" s="25" t="n">
        <v>2516</v>
      </c>
      <c r="J4" s="25" t="n">
        <v>2569</v>
      </c>
      <c r="K4" s="25" t="n">
        <v>2808</v>
      </c>
      <c r="L4" s="25" t="n">
        <v>2794</v>
      </c>
      <c r="M4" s="25" t="n">
        <v>2904</v>
      </c>
      <c r="N4" s="25" t="n">
        <v>3049</v>
      </c>
    </row>
    <row r="5" customFormat="false" ht="15" hidden="false" customHeight="true" outlineLevel="0" collapsed="false">
      <c r="A5" s="11" t="s">
        <v>72</v>
      </c>
      <c r="B5" s="25" t="n">
        <v>986</v>
      </c>
      <c r="C5" s="25" t="n">
        <v>1082</v>
      </c>
      <c r="D5" s="25" t="n">
        <v>1138</v>
      </c>
      <c r="E5" s="25" t="n">
        <v>1189</v>
      </c>
      <c r="F5" s="25" t="n">
        <v>1260</v>
      </c>
      <c r="G5" s="25" t="n">
        <v>1324</v>
      </c>
      <c r="H5" s="25" t="n">
        <v>1407</v>
      </c>
      <c r="I5" s="25" t="n">
        <v>1427</v>
      </c>
      <c r="J5" s="25" t="n">
        <v>1489</v>
      </c>
      <c r="K5" s="25" t="n">
        <v>1547</v>
      </c>
      <c r="L5" s="25" t="n">
        <v>1555</v>
      </c>
      <c r="M5" s="25" t="n">
        <v>1545</v>
      </c>
      <c r="N5" s="25" t="n">
        <v>1627</v>
      </c>
    </row>
    <row r="6" customFormat="false" ht="15" hidden="false" customHeight="true" outlineLevel="0" collapsed="false">
      <c r="A6" s="11" t="s">
        <v>217</v>
      </c>
      <c r="B6" s="25" t="n">
        <v>741</v>
      </c>
      <c r="C6" s="25" t="n">
        <v>743</v>
      </c>
      <c r="D6" s="25" t="n">
        <v>833</v>
      </c>
      <c r="E6" s="25" t="n">
        <v>1051</v>
      </c>
      <c r="F6" s="25" t="n">
        <v>800</v>
      </c>
      <c r="G6" s="25" t="n">
        <v>896</v>
      </c>
      <c r="H6" s="25" t="n">
        <v>878</v>
      </c>
      <c r="I6" s="25" t="n">
        <v>925</v>
      </c>
      <c r="J6" s="25" t="n">
        <v>839</v>
      </c>
      <c r="K6" s="25" t="n">
        <v>1030</v>
      </c>
      <c r="L6" s="25" t="n">
        <v>848</v>
      </c>
      <c r="M6" s="25" t="n">
        <v>985</v>
      </c>
      <c r="N6" s="25" t="n">
        <v>859</v>
      </c>
    </row>
    <row r="7" customFormat="false" ht="15" hidden="false" customHeight="true" outlineLevel="0" collapsed="false">
      <c r="A7" s="11" t="s">
        <v>218</v>
      </c>
      <c r="B7" s="25" t="n">
        <v>333</v>
      </c>
      <c r="C7" s="25" t="n">
        <v>339</v>
      </c>
      <c r="D7" s="25" t="n">
        <v>358</v>
      </c>
      <c r="E7" s="25" t="n">
        <v>626</v>
      </c>
      <c r="F7" s="25" t="n">
        <v>388</v>
      </c>
      <c r="G7" s="25" t="n">
        <v>469</v>
      </c>
      <c r="H7" s="25" t="n">
        <v>465</v>
      </c>
      <c r="I7" s="25" t="n">
        <v>509</v>
      </c>
      <c r="J7" s="25" t="n">
        <v>447</v>
      </c>
      <c r="K7" s="25" t="n">
        <v>512</v>
      </c>
      <c r="L7" s="25" t="n">
        <v>509</v>
      </c>
      <c r="M7" s="25" t="n">
        <v>616</v>
      </c>
      <c r="N7" s="25" t="n">
        <v>442</v>
      </c>
    </row>
    <row r="8" customFormat="false" ht="15" hidden="false" customHeight="true" outlineLevel="0" collapsed="false">
      <c r="A8" s="11" t="s">
        <v>219</v>
      </c>
      <c r="B8" s="25" t="n">
        <v>359</v>
      </c>
      <c r="C8" s="25" t="n">
        <v>378</v>
      </c>
      <c r="D8" s="25" t="n">
        <v>412</v>
      </c>
      <c r="E8" s="25" t="n">
        <v>456</v>
      </c>
      <c r="F8" s="25" t="n">
        <v>459</v>
      </c>
      <c r="G8" s="25" t="n">
        <v>474</v>
      </c>
      <c r="H8" s="25" t="n">
        <v>496</v>
      </c>
      <c r="I8" s="25" t="n">
        <v>513</v>
      </c>
      <c r="J8" s="25" t="n">
        <v>521</v>
      </c>
      <c r="K8" s="25" t="n">
        <v>574</v>
      </c>
      <c r="L8" s="25" t="n">
        <v>690</v>
      </c>
      <c r="M8" s="25" t="n">
        <v>725</v>
      </c>
      <c r="N8" s="25" t="n">
        <v>756</v>
      </c>
    </row>
    <row r="9" customFormat="false" ht="15" hidden="false" customHeight="true" outlineLevel="0" collapsed="false">
      <c r="A9" s="11" t="s">
        <v>120</v>
      </c>
      <c r="B9" s="18" t="n">
        <v>0.0199</v>
      </c>
      <c r="C9" s="18" t="n">
        <v>0.0173</v>
      </c>
      <c r="D9" s="18" t="n">
        <v>0.0158</v>
      </c>
      <c r="E9" s="18" t="n">
        <v>0.014</v>
      </c>
      <c r="F9" s="18" t="n">
        <v>0.0132</v>
      </c>
      <c r="G9" s="18" t="n">
        <v>0.011</v>
      </c>
      <c r="H9" s="18" t="n">
        <v>0.0083</v>
      </c>
      <c r="I9" s="18" t="n">
        <v>0.0076</v>
      </c>
      <c r="J9" s="18" t="n">
        <v>0.0066</v>
      </c>
      <c r="K9" s="18" t="n">
        <v>0.0076</v>
      </c>
      <c r="L9" s="18" t="n">
        <v>0.0071</v>
      </c>
      <c r="M9" s="18" t="n">
        <v>0.0075</v>
      </c>
      <c r="N9" s="18" t="n">
        <v>0.0074</v>
      </c>
    </row>
    <row r="10" customFormat="false" ht="15" hidden="false" customHeight="true" outlineLevel="0" collapsed="false">
      <c r="A10" s="11" t="s">
        <v>122</v>
      </c>
      <c r="B10" s="18" t="n">
        <v>0.0059</v>
      </c>
      <c r="C10" s="18" t="n">
        <v>0.0047</v>
      </c>
      <c r="D10" s="18" t="n">
        <v>0.0042</v>
      </c>
      <c r="E10" s="18" t="n">
        <v>0.004</v>
      </c>
      <c r="F10" s="18" t="n">
        <v>0.0038</v>
      </c>
      <c r="G10" s="18" t="n">
        <v>0.0028</v>
      </c>
      <c r="H10" s="18" t="n">
        <v>0.002</v>
      </c>
      <c r="I10" s="18" t="n">
        <v>0.002</v>
      </c>
      <c r="J10" s="18" t="n">
        <v>0.0019</v>
      </c>
      <c r="K10" s="18" t="n">
        <v>0.0019</v>
      </c>
      <c r="L10" s="18" t="n">
        <v>0.0019</v>
      </c>
      <c r="M10" s="18" t="n">
        <v>0.0019</v>
      </c>
      <c r="N10" s="18" t="n">
        <v>0.0019</v>
      </c>
    </row>
    <row r="11" customFormat="false" ht="15" hidden="false" customHeight="true" outlineLevel="0" collapsed="false">
      <c r="A11" s="4" t="s">
        <v>220</v>
      </c>
      <c r="B11" s="26" t="n">
        <f aca="false">B4-B5</f>
        <v>897</v>
      </c>
      <c r="C11" s="26" t="n">
        <f aca="false">C4-C5</f>
        <v>915</v>
      </c>
      <c r="D11" s="26" t="n">
        <f aca="false">D4-D5</f>
        <v>1001</v>
      </c>
      <c r="E11" s="26" t="n">
        <f aca="false">E4-E5</f>
        <v>998</v>
      </c>
      <c r="F11" s="26" t="n">
        <f aca="false">F4-F5</f>
        <v>1025</v>
      </c>
      <c r="G11" s="26" t="n">
        <f aca="false">G4-G5</f>
        <v>1063</v>
      </c>
      <c r="H11" s="26" t="n">
        <f aca="false">H4-H5</f>
        <v>1082</v>
      </c>
      <c r="I11" s="26" t="n">
        <f aca="false">I4-I5</f>
        <v>1089</v>
      </c>
      <c r="J11" s="26" t="n">
        <f aca="false">J4-J5</f>
        <v>1080</v>
      </c>
      <c r="K11" s="26" t="n">
        <f aca="false">K4-K5</f>
        <v>1261</v>
      </c>
      <c r="L11" s="26" t="n">
        <f aca="false">L4-L5</f>
        <v>1239</v>
      </c>
      <c r="M11" s="26" t="n">
        <f aca="false">M4-M5</f>
        <v>1359</v>
      </c>
      <c r="N11" s="26" t="n">
        <f aca="false">N4-N5</f>
        <v>1422</v>
      </c>
    </row>
    <row r="12" customFormat="false" ht="15" hidden="false" customHeight="true" outlineLevel="0" collapsed="false">
      <c r="A12" s="4" t="s">
        <v>221</v>
      </c>
      <c r="B12" s="26" t="n">
        <f aca="false">B4-B5-B6+B7</f>
        <v>489</v>
      </c>
      <c r="C12" s="26" t="n">
        <f aca="false">C4-C5-C6+C7</f>
        <v>511</v>
      </c>
      <c r="D12" s="26" t="n">
        <f aca="false">D4-D5-D6+D7</f>
        <v>526</v>
      </c>
      <c r="E12" s="26" t="n">
        <f aca="false">E4-E5-E6+E7</f>
        <v>573</v>
      </c>
      <c r="F12" s="26" t="n">
        <f aca="false">F4-F5-F6+F7</f>
        <v>613</v>
      </c>
      <c r="G12" s="26" t="n">
        <f aca="false">G4-G5-G6+G7</f>
        <v>636</v>
      </c>
      <c r="H12" s="26" t="n">
        <f aca="false">H4-H5-H6+H7</f>
        <v>669</v>
      </c>
      <c r="I12" s="26" t="n">
        <f aca="false">I4-I5-I6+I7</f>
        <v>673</v>
      </c>
      <c r="J12" s="26" t="n">
        <f aca="false">J4-J5-J6+J7</f>
        <v>688</v>
      </c>
      <c r="K12" s="26" t="n">
        <f aca="false">K4-K5-K6+K7</f>
        <v>743</v>
      </c>
      <c r="L12" s="26" t="n">
        <f aca="false">L4-L5-L6+L7</f>
        <v>900</v>
      </c>
      <c r="M12" s="26" t="n">
        <f aca="false">M4-M5-M6+M7</f>
        <v>990</v>
      </c>
      <c r="N12" s="26" t="n">
        <f aca="false">N4-N5-N6+N7</f>
        <v>1005</v>
      </c>
    </row>
    <row r="13" customFormat="false" ht="15" hidden="false" customHeight="true" outlineLevel="0" collapsed="false">
      <c r="A13" s="11" t="s">
        <v>222</v>
      </c>
      <c r="F13" s="28" t="n">
        <f aca="false">F11/B11-1</f>
        <v>0.142697881828317</v>
      </c>
      <c r="G13" s="28" t="n">
        <f aca="false">G11/C11-1</f>
        <v>0.161748633879781</v>
      </c>
      <c r="H13" s="28" t="n">
        <f aca="false">H11/D11-1</f>
        <v>0.080919080919081</v>
      </c>
      <c r="I13" s="28" t="n">
        <f aca="false">I11/E11-1</f>
        <v>0.091182364729459</v>
      </c>
      <c r="J13" s="28" t="n">
        <f aca="false">J11/F11-1</f>
        <v>0.0536585365853659</v>
      </c>
      <c r="K13" s="28" t="n">
        <f aca="false">K11/G11-1</f>
        <v>0.186265286923801</v>
      </c>
      <c r="L13" s="28" t="n">
        <f aca="false">L11/H11-1</f>
        <v>0.145101663585952</v>
      </c>
      <c r="M13" s="28" t="n">
        <f aca="false">M11/I11-1</f>
        <v>0.247933884297521</v>
      </c>
      <c r="N13" s="28" t="n">
        <f aca="false">N11/J11-1</f>
        <v>0.316666666666667</v>
      </c>
    </row>
    <row r="14" customFormat="false" ht="15" hidden="false" customHeight="true" outlineLevel="0" collapsed="false">
      <c r="A14" s="11" t="s">
        <v>223</v>
      </c>
      <c r="F14" s="28" t="n">
        <f aca="false">F8/B8-1</f>
        <v>0.278551532033426</v>
      </c>
      <c r="G14" s="28" t="n">
        <f aca="false">G8/C8-1</f>
        <v>0.253968253968254</v>
      </c>
      <c r="H14" s="28" t="n">
        <f aca="false">H8/D8-1</f>
        <v>0.203883495145631</v>
      </c>
      <c r="I14" s="28" t="n">
        <f aca="false">I8/E8-1</f>
        <v>0.125</v>
      </c>
      <c r="J14" s="28" t="n">
        <f aca="false">J8/F8-1</f>
        <v>0.135076252723312</v>
      </c>
      <c r="K14" s="28" t="n">
        <f aca="false">K8/G8-1</f>
        <v>0.210970464135021</v>
      </c>
      <c r="L14" s="28" t="n">
        <f aca="false">L8/H8-1</f>
        <v>0.391129032258065</v>
      </c>
      <c r="M14" s="28" t="n">
        <f aca="false">M8/I8-1</f>
        <v>0.413255360623782</v>
      </c>
      <c r="N14" s="28" t="n">
        <f aca="false">N8/J8-1</f>
        <v>0.4510556621881</v>
      </c>
    </row>
    <row r="16" customFormat="false" ht="15" hidden="false" customHeight="true" outlineLevel="0" collapsed="false">
      <c r="A16" s="3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2" min="2" style="1" width="12"/>
  </cols>
  <sheetData>
    <row r="1" customFormat="false" ht="15.75" hidden="false" customHeight="true" outlineLevel="0" collapsed="false">
      <c r="A1" s="12" t="s">
        <v>225</v>
      </c>
    </row>
    <row r="3" customFormat="false" ht="21.75" hidden="false" customHeight="true" outlineLevel="0" collapsed="false">
      <c r="A3" s="22" t="s">
        <v>226</v>
      </c>
      <c r="B3" s="22" t="s">
        <v>2</v>
      </c>
      <c r="C3" s="22" t="s">
        <v>227</v>
      </c>
      <c r="D3" s="22" t="s">
        <v>228</v>
      </c>
      <c r="E3" s="22" t="s">
        <v>229</v>
      </c>
      <c r="F3" s="22" t="s">
        <v>230</v>
      </c>
      <c r="G3" s="22" t="s">
        <v>231</v>
      </c>
      <c r="H3" s="22" t="s">
        <v>232</v>
      </c>
      <c r="I3" s="22" t="s">
        <v>233</v>
      </c>
      <c r="J3" s="22" t="s">
        <v>234</v>
      </c>
      <c r="K3" s="22" t="s">
        <v>235</v>
      </c>
      <c r="L3" s="22" t="s">
        <v>236</v>
      </c>
    </row>
    <row r="4" customFormat="false" ht="15" hidden="false" customHeight="true" outlineLevel="0" collapsed="false">
      <c r="A4" s="11" t="s">
        <v>237</v>
      </c>
      <c r="B4" s="17" t="n">
        <v>720</v>
      </c>
      <c r="C4" s="34" t="n">
        <v>14.06</v>
      </c>
      <c r="D4" s="25" t="n">
        <v>1110447.87</v>
      </c>
      <c r="E4" s="17" t="n">
        <v>1.81</v>
      </c>
      <c r="F4" s="25" t="n">
        <v>20382.69</v>
      </c>
      <c r="G4" s="34" t="n">
        <v>18.37</v>
      </c>
      <c r="H4" s="25" t="n">
        <v>90575.33</v>
      </c>
      <c r="I4" s="34" t="n">
        <v>3.67</v>
      </c>
      <c r="J4" s="17" t="n">
        <v>390</v>
      </c>
      <c r="K4" s="34" t="n">
        <v>13.6</v>
      </c>
      <c r="L4" s="39" t="n">
        <f aca="false">IF(ISNUMBER(J4),B4/J4,"")</f>
        <v>1.84615384615385</v>
      </c>
    </row>
    <row r="5" customFormat="false" ht="15" hidden="false" customHeight="true" outlineLevel="0" collapsed="false">
      <c r="A5" s="11" t="s">
        <v>238</v>
      </c>
      <c r="B5" s="17" t="n">
        <v>1292.6</v>
      </c>
      <c r="C5" s="34" t="n">
        <v>16.56</v>
      </c>
      <c r="D5" s="25" t="n">
        <v>928459.56</v>
      </c>
      <c r="E5" s="17" t="n">
        <v>0.93</v>
      </c>
      <c r="F5" s="25" t="n">
        <v>16276.22</v>
      </c>
      <c r="G5" s="34" t="n">
        <v>13.88</v>
      </c>
      <c r="H5" s="25" t="n">
        <v>52240.85</v>
      </c>
      <c r="I5" s="34" t="n">
        <v>6.44</v>
      </c>
      <c r="L5" s="39" t="str">
        <f aca="false">IF(ISNUMBER(J5),B5/J5,"")</f>
        <v/>
      </c>
    </row>
    <row r="6" customFormat="false" ht="15" hidden="false" customHeight="true" outlineLevel="0" collapsed="false">
      <c r="A6" s="11" t="s">
        <v>239</v>
      </c>
      <c r="B6" s="17" t="n">
        <v>406</v>
      </c>
      <c r="C6" s="34" t="n">
        <v>20.14</v>
      </c>
      <c r="D6" s="25" t="n">
        <v>403422.74</v>
      </c>
      <c r="E6" s="17" t="n">
        <v>0.16</v>
      </c>
      <c r="F6" s="25" t="n">
        <v>5480.46</v>
      </c>
      <c r="G6" s="34" t="n">
        <v>22.55</v>
      </c>
      <c r="H6" s="25" t="n">
        <v>18354.57</v>
      </c>
      <c r="I6" s="34" t="n">
        <v>6.41</v>
      </c>
      <c r="L6" s="39" t="str">
        <f aca="false">IF(ISNUMBER(J6),B6/J6,"")</f>
        <v/>
      </c>
    </row>
    <row r="7" customFormat="false" ht="15" hidden="false" customHeight="true" outlineLevel="0" collapsed="false">
      <c r="A7" s="11" t="s">
        <v>240</v>
      </c>
      <c r="B7" s="17" t="n">
        <v>1209</v>
      </c>
      <c r="C7" s="34" t="n">
        <v>13.55</v>
      </c>
      <c r="D7" s="25" t="n">
        <v>376089.13</v>
      </c>
      <c r="E7" s="17" t="n">
        <v>0.08</v>
      </c>
      <c r="F7" s="25" t="n">
        <v>7670.37</v>
      </c>
      <c r="G7" s="34" t="n">
        <v>22.24</v>
      </c>
      <c r="H7" s="25" t="n">
        <v>35541.96</v>
      </c>
      <c r="I7" s="34" t="n">
        <v>9.87</v>
      </c>
      <c r="L7" s="39" t="str">
        <f aca="false">IF(ISNUMBER(J7),B7/J7,"")</f>
        <v/>
      </c>
    </row>
    <row r="8" customFormat="false" ht="15" hidden="false" customHeight="true" outlineLevel="0" collapsed="false">
      <c r="A8" s="11" t="s">
        <v>241</v>
      </c>
      <c r="B8" s="17" t="n">
        <v>83.18</v>
      </c>
      <c r="C8" s="34" t="n">
        <v>9.59</v>
      </c>
      <c r="D8" s="25" t="n">
        <v>89427.88</v>
      </c>
      <c r="E8" s="17" t="n">
        <v>2.52</v>
      </c>
      <c r="F8" s="25" t="n">
        <v>2130.57</v>
      </c>
      <c r="G8" s="34" t="n">
        <v>5.35</v>
      </c>
      <c r="H8" s="25" t="n">
        <v>7549.28</v>
      </c>
      <c r="I8" s="34" t="n">
        <v>7.44</v>
      </c>
      <c r="L8" s="39" t="str">
        <f aca="false">IF(ISNUMBER(J8),B8/J8,"")</f>
        <v/>
      </c>
    </row>
    <row r="9" customFormat="false" ht="15" hidden="false" customHeight="true" outlineLevel="0" collapsed="false">
      <c r="A9" s="11" t="s">
        <v>242</v>
      </c>
      <c r="B9" s="17" t="n">
        <v>320.7</v>
      </c>
      <c r="C9" s="34" t="n">
        <v>16.98</v>
      </c>
      <c r="D9" s="25" t="n">
        <v>79479.71</v>
      </c>
      <c r="E9" s="17" t="n">
        <v>0.37</v>
      </c>
      <c r="F9" s="25" t="n">
        <v>1302.49</v>
      </c>
      <c r="G9" s="34" t="n">
        <v>36.78</v>
      </c>
      <c r="H9" s="25" t="n">
        <v>7861.58</v>
      </c>
      <c r="I9" s="34" t="n">
        <v>9.94</v>
      </c>
      <c r="J9" s="17" t="n">
        <v>162</v>
      </c>
      <c r="K9" s="34" t="n">
        <v>11.6</v>
      </c>
      <c r="L9" s="39" t="n">
        <f aca="false">IF(ISNUMBER(J9),B9/J9,"")</f>
        <v>1.97962962962963</v>
      </c>
    </row>
    <row r="10" customFormat="false" ht="15" hidden="false" customHeight="true" outlineLevel="0" collapsed="false">
      <c r="A10" s="11" t="s">
        <v>243</v>
      </c>
      <c r="B10" s="17" t="n">
        <v>885</v>
      </c>
      <c r="C10" s="34" t="n">
        <v>52.25</v>
      </c>
      <c r="D10" s="25" t="n">
        <v>69094.81</v>
      </c>
      <c r="E10" s="17" t="n">
        <v>0.17</v>
      </c>
      <c r="F10" s="25" t="n">
        <v>1037.05</v>
      </c>
      <c r="G10" s="34" t="n">
        <v>71.68</v>
      </c>
      <c r="H10" s="25" t="n">
        <v>11309.94</v>
      </c>
      <c r="I10" s="34" t="n">
        <v>-7.78</v>
      </c>
      <c r="L10" s="39" t="str">
        <f aca="false">IF(ISNUMBER(J10),B10/J10,"")</f>
        <v/>
      </c>
    </row>
    <row r="11" customFormat="false" ht="15" hidden="false" customHeight="true" outlineLevel="0" collapsed="false">
      <c r="A11" s="11" t="s">
        <v>244</v>
      </c>
      <c r="B11" s="17" t="n">
        <v>79.46</v>
      </c>
      <c r="C11" s="34" t="n">
        <v>30.45</v>
      </c>
      <c r="D11" s="25" t="n">
        <v>68482.96</v>
      </c>
      <c r="E11" s="17" t="n">
        <v>0.31</v>
      </c>
      <c r="F11" s="25" t="n">
        <v>1074.96</v>
      </c>
      <c r="G11" s="34" t="n">
        <v>132.39</v>
      </c>
      <c r="H11" s="25" t="n">
        <v>11051.09</v>
      </c>
      <c r="I11" s="34" t="n">
        <v>14.61</v>
      </c>
      <c r="L11" s="39" t="str">
        <f aca="false">IF(ISNUMBER(J11),B11/J11,"")</f>
        <v/>
      </c>
    </row>
    <row r="12" customFormat="false" ht="15" hidden="false" customHeight="true" outlineLevel="0" collapsed="false">
      <c r="A12" s="11" t="s">
        <v>245</v>
      </c>
      <c r="B12" s="17" t="n">
        <v>20.71</v>
      </c>
      <c r="C12" s="34" t="n">
        <v>17.2</v>
      </c>
      <c r="D12" s="25" t="n">
        <v>64944.15</v>
      </c>
      <c r="E12" s="17" t="n">
        <v>0</v>
      </c>
      <c r="F12" s="25" t="n">
        <v>1071.81</v>
      </c>
      <c r="G12" s="34" t="n">
        <v>32.54</v>
      </c>
      <c r="H12" s="25" t="n">
        <v>8054.49</v>
      </c>
      <c r="I12" s="34" t="n">
        <v>5.92</v>
      </c>
      <c r="L12" s="39" t="str">
        <f aca="false">IF(ISNUMBER(J12),B12/J12,"")</f>
        <v/>
      </c>
    </row>
    <row r="13" customFormat="false" ht="15" hidden="false" customHeight="true" outlineLevel="0" collapsed="false">
      <c r="A13" s="11" t="s">
        <v>246</v>
      </c>
      <c r="B13" s="17" t="n">
        <v>402</v>
      </c>
      <c r="C13" s="34" t="n">
        <v>71.47</v>
      </c>
      <c r="D13" s="25" t="n">
        <v>62591.33</v>
      </c>
      <c r="E13" s="17" t="n">
        <v>0.25</v>
      </c>
      <c r="F13" s="25" t="n">
        <v>253.7</v>
      </c>
      <c r="G13" s="34" t="n">
        <v>26.64</v>
      </c>
      <c r="H13" s="25" t="n">
        <v>3840.25</v>
      </c>
      <c r="I13" s="34" t="n">
        <v>11.6</v>
      </c>
      <c r="L13" s="39" t="str">
        <f aca="false">IF(ISNUMBER(J13),B13/J13,"")</f>
        <v/>
      </c>
    </row>
    <row r="14" customFormat="false" ht="15" hidden="false" customHeight="true" outlineLevel="0" collapsed="false">
      <c r="A14" s="53" t="s">
        <v>247</v>
      </c>
      <c r="B14" s="54" t="n">
        <v>318.8</v>
      </c>
      <c r="C14" s="55" t="n">
        <v>11.22</v>
      </c>
      <c r="D14" s="56" t="n">
        <v>30808.88</v>
      </c>
      <c r="E14" s="54" t="n">
        <v>0.82</v>
      </c>
      <c r="F14" s="56" t="n">
        <v>755.7</v>
      </c>
      <c r="G14" s="55" t="n">
        <v>44.92</v>
      </c>
      <c r="H14" s="56" t="n">
        <v>3049.42</v>
      </c>
      <c r="I14" s="55" t="n">
        <v>18.72</v>
      </c>
      <c r="J14" s="54" t="n">
        <v>146</v>
      </c>
      <c r="K14" s="55" t="n">
        <v>19.1</v>
      </c>
      <c r="L14" s="39" t="n">
        <f aca="false">IF(ISNUMBER(J14),B14/J14,"")</f>
        <v>2.18356164383562</v>
      </c>
    </row>
    <row r="15" customFormat="false" ht="15" hidden="false" customHeight="true" outlineLevel="0" collapsed="false">
      <c r="A15" s="11" t="s">
        <v>248</v>
      </c>
      <c r="B15" s="17" t="n">
        <v>185.31</v>
      </c>
      <c r="C15" s="34" t="n">
        <v>22</v>
      </c>
      <c r="D15" s="25" t="n">
        <v>29773.93</v>
      </c>
      <c r="E15" s="17" t="n">
        <v>0.81</v>
      </c>
      <c r="F15" s="25" t="n">
        <v>501.67</v>
      </c>
      <c r="G15" s="34" t="n">
        <v>34.87</v>
      </c>
      <c r="H15" s="25" t="n">
        <v>5630.55</v>
      </c>
      <c r="I15" s="34" t="n">
        <v>2.83</v>
      </c>
      <c r="L15" s="39" t="str">
        <f aca="false">IF(ISNUMBER(J15),B15/J15,"")</f>
        <v/>
      </c>
    </row>
    <row r="16" customFormat="false" ht="15" hidden="false" customHeight="true" outlineLevel="0" collapsed="false">
      <c r="A16" s="11" t="s">
        <v>249</v>
      </c>
      <c r="B16" s="17" t="n">
        <v>214.85</v>
      </c>
      <c r="C16" s="34" t="n">
        <v>15.18</v>
      </c>
      <c r="D16" s="25" t="n">
        <v>21286.08</v>
      </c>
      <c r="E16" s="17" t="n">
        <v>0.93</v>
      </c>
      <c r="F16" s="25" t="n">
        <v>382.57</v>
      </c>
      <c r="G16" s="34" t="n">
        <v>25.06</v>
      </c>
      <c r="H16" s="25" t="n">
        <v>1984.99</v>
      </c>
      <c r="I16" s="34" t="n">
        <v>23.65</v>
      </c>
      <c r="L16" s="39" t="str">
        <f aca="false">IF(ISNUMBER(J16),B16/J16,"")</f>
        <v/>
      </c>
    </row>
    <row r="17" customFormat="false" ht="15" hidden="false" customHeight="true" outlineLevel="0" collapsed="false">
      <c r="A17" s="11" t="s">
        <v>250</v>
      </c>
      <c r="B17" s="17" t="n">
        <v>138.4</v>
      </c>
      <c r="C17" s="34" t="n">
        <v>6.61</v>
      </c>
      <c r="D17" s="25" t="n">
        <v>15240.37</v>
      </c>
      <c r="E17" s="17" t="n">
        <v>1.55</v>
      </c>
      <c r="F17" s="25" t="n">
        <v>428.8</v>
      </c>
      <c r="G17" s="34" t="n">
        <v>-11.5</v>
      </c>
      <c r="H17" s="25" t="n">
        <v>3547.48</v>
      </c>
      <c r="I17" s="34" t="n">
        <v>8.5</v>
      </c>
      <c r="L17" s="39" t="str">
        <f aca="false">IF(ISNUMBER(J17),B17/J17,"")</f>
        <v/>
      </c>
    </row>
    <row r="18" customFormat="false" ht="15" hidden="false" customHeight="true" outlineLevel="0" collapsed="false">
      <c r="A18" s="11" t="s">
        <v>251</v>
      </c>
      <c r="B18" s="17" t="n">
        <v>863.55</v>
      </c>
      <c r="C18" s="34" t="n">
        <v>9.46</v>
      </c>
      <c r="D18" s="25" t="n">
        <v>13662.55</v>
      </c>
      <c r="E18" s="17" t="n">
        <v>1.45</v>
      </c>
      <c r="F18" s="25" t="n">
        <v>411.51</v>
      </c>
      <c r="G18" s="34" t="n">
        <v>34.97</v>
      </c>
      <c r="H18" s="25" t="n">
        <v>1662.43</v>
      </c>
      <c r="I18" s="34" t="n">
        <v>19.92</v>
      </c>
      <c r="L18" s="39" t="str">
        <f aca="false">IF(ISNUMBER(J18),B18/J18,"")</f>
        <v/>
      </c>
    </row>
    <row r="19" customFormat="false" ht="15" hidden="false" customHeight="true" outlineLevel="0" collapsed="false">
      <c r="A19" s="11" t="s">
        <v>252</v>
      </c>
      <c r="B19" s="17" t="n">
        <v>48.72</v>
      </c>
      <c r="C19" s="34" t="n">
        <v>8.44</v>
      </c>
      <c r="D19" s="25" t="n">
        <v>12756.98</v>
      </c>
      <c r="E19" s="17" t="n">
        <v>0.92</v>
      </c>
      <c r="F19" s="25" t="n">
        <v>377.63</v>
      </c>
      <c r="G19" s="34" t="n">
        <v>17.29</v>
      </c>
      <c r="H19" s="25" t="n">
        <v>2627.81</v>
      </c>
      <c r="I19" s="34" t="n">
        <v>11.23</v>
      </c>
      <c r="L19" s="39" t="str">
        <f aca="false">IF(ISNUMBER(J19),B19/J19,"")</f>
        <v/>
      </c>
    </row>
    <row r="20" customFormat="false" ht="15" hidden="false" customHeight="true" outlineLevel="0" collapsed="false">
      <c r="A20" s="11" t="s">
        <v>253</v>
      </c>
      <c r="B20" s="17" t="n">
        <v>322.75</v>
      </c>
      <c r="C20" s="34" t="n">
        <v>8.49</v>
      </c>
      <c r="D20" s="25" t="n">
        <v>12204.86</v>
      </c>
      <c r="E20" s="17" t="n">
        <v>1.55</v>
      </c>
      <c r="F20" s="25" t="n">
        <v>418.95</v>
      </c>
      <c r="G20" s="34" t="n">
        <v>43.28</v>
      </c>
      <c r="H20" s="25" t="n">
        <v>2382.65</v>
      </c>
      <c r="I20" s="34" t="n">
        <v>5.37</v>
      </c>
      <c r="L20" s="39" t="str">
        <f aca="false">IF(ISNUMBER(J20),B20/J20,"")</f>
        <v/>
      </c>
    </row>
    <row r="21" customFormat="false" ht="15" hidden="false" customHeight="true" outlineLevel="0" collapsed="false">
      <c r="A21" s="11" t="s">
        <v>254</v>
      </c>
      <c r="B21" s="17" t="n">
        <v>202.2</v>
      </c>
      <c r="C21" s="34" t="n">
        <v>8.27</v>
      </c>
      <c r="D21" s="25" t="n">
        <v>6517.91</v>
      </c>
      <c r="E21" s="17" t="n">
        <v>0.72</v>
      </c>
      <c r="F21" s="25" t="n">
        <v>213.2</v>
      </c>
      <c r="G21" s="34" t="n">
        <v>35.57</v>
      </c>
      <c r="H21" s="25" t="n">
        <v>1984.31</v>
      </c>
      <c r="I21" s="34" t="n">
        <v>9.41</v>
      </c>
      <c r="L21" s="39" t="str">
        <f aca="false">IF(ISNUMBER(J21),B21/J21,"")</f>
        <v/>
      </c>
    </row>
    <row r="22" customFormat="false" ht="15" hidden="false" customHeight="true" outlineLevel="0" collapsed="false">
      <c r="A22" s="11" t="s">
        <v>255</v>
      </c>
      <c r="B22" s="17" t="n">
        <v>316.2</v>
      </c>
      <c r="C22" s="34" t="n">
        <v>8.23</v>
      </c>
      <c r="D22" s="25" t="n">
        <v>5468.73</v>
      </c>
      <c r="E22" s="17" t="n">
        <v>0</v>
      </c>
      <c r="F22" s="25" t="n">
        <v>150.04</v>
      </c>
      <c r="G22" s="34" t="n">
        <v>26.51</v>
      </c>
      <c r="H22" s="25" t="n">
        <v>1287.32</v>
      </c>
      <c r="I22" s="34" t="n">
        <v>23.67</v>
      </c>
      <c r="L22" s="39" t="str">
        <f aca="false">IF(ISNUMBER(J22),B22/J22,"")</f>
        <v/>
      </c>
    </row>
    <row r="23" customFormat="false" ht="15" hidden="false" customHeight="true" outlineLevel="0" collapsed="false">
      <c r="A23" s="11" t="s">
        <v>256</v>
      </c>
      <c r="B23" s="17" t="n">
        <v>28.1</v>
      </c>
      <c r="C23" s="34" t="n">
        <v>9.56</v>
      </c>
      <c r="D23" s="25" t="n">
        <v>1104.01</v>
      </c>
      <c r="E23" s="17" t="n">
        <v>0</v>
      </c>
      <c r="F23" s="25" t="n">
        <v>24.91</v>
      </c>
      <c r="G23" s="34" t="n">
        <v>104.52</v>
      </c>
      <c r="H23" s="25" t="n">
        <v>449.36</v>
      </c>
      <c r="I23" s="34" t="n">
        <v>22.19</v>
      </c>
      <c r="L23" s="39" t="str">
        <f aca="false">IF(ISNUMBER(J23),B23/J23,"")</f>
        <v/>
      </c>
    </row>
    <row r="25" customFormat="false" ht="15" hidden="false" customHeight="true" outlineLevel="0" collapsed="false">
      <c r="A25" s="4" t="s">
        <v>257</v>
      </c>
      <c r="C25" s="57" t="n">
        <f aca="false">MEDIAN(C4:C23)</f>
        <v>13.805</v>
      </c>
    </row>
    <row r="26" customFormat="false" ht="15" hidden="false" customHeight="true" outlineLevel="0" collapsed="false">
      <c r="A26" s="4" t="s">
        <v>258</v>
      </c>
      <c r="C26" s="57" t="n">
        <f aca="false">MEDIAN(C14:C23)</f>
        <v>8.975</v>
      </c>
    </row>
    <row r="27" customFormat="false" ht="15" hidden="false" customHeight="true" outlineLevel="0" collapsed="false">
      <c r="A27" s="11" t="s">
        <v>259</v>
      </c>
      <c r="C27" s="28" t="n">
        <f aca="false">C14/C26-1</f>
        <v>0.250139275766017</v>
      </c>
    </row>
    <row r="29" customFormat="false" ht="15" hidden="false" customHeight="true" outlineLevel="0" collapsed="false">
      <c r="A29" s="3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2026-09-30T15:15:01Z</dcterms:created>
  <dc:creator>openpyxl</dc:creator>
  <dc:description/>
  <dc:language>en-US</dc:language>
  <cp:lastModifiedBy/>
  <dcterms:modified xsi:type="dcterms:W3CDTF">2026-09-30T15:15:23Z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